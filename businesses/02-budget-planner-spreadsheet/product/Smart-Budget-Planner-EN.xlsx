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Transactions" sheetId="3" state="visible" r:id="rId5"/>
    <sheet name="Dashboard" sheetId="4" state="visible" r:id="rId6"/>
    <sheet name="Savings Goals" sheetId="5" state="visible" r:id="rId7"/>
    <sheet name="Debt Payoff" sheetId="6" state="visible" r:id="rId8"/>
    <sheet name="Bills" sheetId="7" state="visible" r:id="rId9"/>
  </sheets>
  <definedNames>
    <definedName function="false" hidden="true" localSheetId="2" name="_xlnm._FilterDatabase" vbProcedure="false">Transactions!$A$3:$F$1003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<sst xmlns="http://schemas.openxmlformats.org/spreadsheetml/2006/main" count="185" uniqueCount="107">
  <si>
    <t xml:space="preserve">Smart Budget Planner</t>
  </si>
  <si>
    <t xml:space="preserve">Track every dollar · see where your money goes · hit your goals</t>
  </si>
  <si>
    <t xml:space="preserve">1. Go to Settings: set your currency and edit the categories + monthly budget (yellow cells).</t>
  </si>
  <si>
    <t xml:space="preserve">2. Go to Transactions: log each income or expense. Pick Type and Category from the dropdowns.</t>
  </si>
  <si>
    <t xml:space="preserve">3. Open Dashboard: pick a month at the top to see budget vs actual, charts and savings rate.</t>
  </si>
  <si>
    <t xml:space="preserve">4. Savings Goals: add goals; see the % done and how much to save each month.</t>
  </si>
  <si>
    <t xml:space="preserve">5. Debt Payoff: enter each debt; see months to debt-free and total interest.</t>
  </si>
  <si>
    <t xml:space="preserve">6. Bills: list recurring bills and tick each month when paid.</t>
  </si>
  <si>
    <t xml:space="preserve">Legend: YELLOW cells = type here. White cells = automatic formulas (don't edit).</t>
  </si>
  <si>
    <t xml:space="preserve">Example rows are included so you can see how it works. Delete them and start your own.</t>
  </si>
  <si>
    <t xml:space="preserve">Google Sheets: File → Import → Upload → 'Replace spreadsheet'. Excel: just open it.</t>
  </si>
  <si>
    <t xml:space="preserve">© Smart Budget Planner · personal use only</t>
  </si>
  <si>
    <t xml:space="preserve">Settings</t>
  </si>
  <si>
    <t xml:space="preserve">Currency symbol</t>
  </si>
  <si>
    <t xml:space="preserve">$</t>
  </si>
  <si>
    <t xml:space="preserve">Year</t>
  </si>
  <si>
    <t xml:space="preserve">Starting balance</t>
  </si>
  <si>
    <t xml:space="preserve">Category</t>
  </si>
  <si>
    <t xml:space="preserve">Type</t>
  </si>
  <si>
    <t xml:space="preserve">Monthly Budget</t>
  </si>
  <si>
    <t xml:space="preserve">Spent This Year</t>
  </si>
  <si>
    <t xml:space="preserve">Avg / Month</t>
  </si>
  <si>
    <t xml:space="preserve">Salary</t>
  </si>
  <si>
    <t xml:space="preserve">Income</t>
  </si>
  <si>
    <t xml:space="preserve">Side Hustle</t>
  </si>
  <si>
    <t xml:space="preserve">Gifts / Other</t>
  </si>
  <si>
    <t xml:space="preserve">Rent / Mortgage</t>
  </si>
  <si>
    <t xml:space="preserve">Expense</t>
  </si>
  <si>
    <t xml:space="preserve">Groceries</t>
  </si>
  <si>
    <t xml:space="preserve">Utilities</t>
  </si>
  <si>
    <t xml:space="preserve">Transport</t>
  </si>
  <si>
    <t xml:space="preserve">Phone &amp; Internet</t>
  </si>
  <si>
    <t xml:space="preserve">Eating Out</t>
  </si>
  <si>
    <t xml:space="preserve">Shopping</t>
  </si>
  <si>
    <t xml:space="preserve">Health</t>
  </si>
  <si>
    <t xml:space="preserve">Kids / Family</t>
  </si>
  <si>
    <t xml:space="preserve">Subscriptions</t>
  </si>
  <si>
    <t xml:space="preserve">Education</t>
  </si>
  <si>
    <t xml:space="preserve">Charity / Zakat</t>
  </si>
  <si>
    <t xml:space="preserve">Entertainment</t>
  </si>
  <si>
    <t xml:space="preserve">Savings Transfer</t>
  </si>
  <si>
    <t xml:space="preserve">Debt Payments</t>
  </si>
  <si>
    <t xml:space="preserve">Miscellaneous</t>
  </si>
  <si>
    <t xml:space="preserve">Transactions</t>
  </si>
  <si>
    <t xml:space="preserve">Date</t>
  </si>
  <si>
    <t xml:space="preserve">Description</t>
  </si>
  <si>
    <t xml:space="preserve">Amount</t>
  </si>
  <si>
    <t xml:space="preserve">Month</t>
  </si>
  <si>
    <t xml:space="preserve">Monthly salary</t>
  </si>
  <si>
    <t xml:space="preserve">Rent</t>
  </si>
  <si>
    <t xml:space="preserve">Supermarket</t>
  </si>
  <si>
    <t xml:space="preserve">Fuel</t>
  </si>
  <si>
    <t xml:space="preserve">Pizza night</t>
  </si>
  <si>
    <t xml:space="preserve">Electricity</t>
  </si>
  <si>
    <t xml:space="preserve">Freelance project</t>
  </si>
  <si>
    <t xml:space="preserve">Streaming</t>
  </si>
  <si>
    <t xml:space="preserve">Emergency fund</t>
  </si>
  <si>
    <t xml:space="preserve">Weekly shop</t>
  </si>
  <si>
    <t xml:space="preserve">Dashboard</t>
  </si>
  <si>
    <t xml:space="preserve">Choose month →</t>
  </si>
  <si>
    <t xml:space="preserve">Jan</t>
  </si>
  <si>
    <t xml:space="preserve">Expenses</t>
  </si>
  <si>
    <t xml:space="preserve">Net (saved)</t>
  </si>
  <si>
    <t xml:space="preserve">Savings rate</t>
  </si>
  <si>
    <t xml:space="preserve">Budget</t>
  </si>
  <si>
    <t xml:space="preserve">Actual</t>
  </si>
  <si>
    <t xml:space="preserve">Difference</t>
  </si>
  <si>
    <t xml:space="preserve">Status</t>
  </si>
  <si>
    <t xml:space="preserve">Net</t>
  </si>
  <si>
    <t xml:space="preserve">Balance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</si>
  <si>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</si>
  <si>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</si>
  <si>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</si>
  <si>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</si>
  <si>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</si>
  <si>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</si>
  <si>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</si>
  <si>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</si>
  <si>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</si>
  <si>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</si>
  <si>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</si>
  <si>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Σ</t>
  </si>
  <si>
    <t xml:space="preserve">Savings Goals</t>
  </si>
  <si>
    <t xml:space="preserve">Goal</t>
  </si>
  <si>
    <t xml:space="preserve">Target</t>
  </si>
  <si>
    <t xml:space="preserve">Saved so far</t>
  </si>
  <si>
    <t xml:space="preserve">Progress</t>
  </si>
  <si>
    <t xml:space="preserve">Remaining</t>
  </si>
  <si>
    <t xml:space="preserve">Target date</t>
  </si>
  <si>
    <t xml:space="preserve">Save / month</t>
  </si>
  <si>
    <t xml:space="preserve">Holiday</t>
  </si>
  <si>
    <t xml:space="preserve">New laptop</t>
  </si>
  <si>
    <t xml:space="preserve">Debt Payoff</t>
  </si>
  <si>
    <t xml:space="preserve">Tip (snowball): pay minimums on all, put every extra dollar on the smallest balance first.</t>
  </si>
  <si>
    <t xml:space="preserve">Debt</t>
  </si>
  <si>
    <t xml:space="preserve">Interest % / yr</t>
  </si>
  <si>
    <t xml:space="preserve">Monthly payment</t>
  </si>
  <si>
    <t xml:space="preserve">Months to pay off</t>
  </si>
  <si>
    <t xml:space="preserve">Debt-free by</t>
  </si>
  <si>
    <t xml:space="preserve">Total interest</t>
  </si>
  <si>
    <t xml:space="preserve">Credit card</t>
  </si>
  <si>
    <t xml:space="preserve">Car loan</t>
  </si>
  <si>
    <t xml:space="preserve">Bills</t>
  </si>
  <si>
    <t xml:space="preserve">Bill</t>
  </si>
  <si>
    <t xml:space="preserve">Due day</t>
  </si>
  <si>
    <t xml:space="preserve">Internet</t>
  </si>
  <si>
    <t xml:space="preserve">Phone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</si>
</sst>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[RED]\-#,##0.00;\-"/>
    <numFmt numFmtId="166" formatCode="yyyy\-mm\-dd"/>
    <numFmt numFmtId="167" formatCode="General"/>
    <numFmt numFmtId="168" formatCode="0.0%"/>
    <numFmt numFmtId="169" formatCode="0%"/>
    <numFmt numFmtId="170" formatCode="0"/>
    <numFmt numFmtId="171" formatCode="yyyy\-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0F766E"/>
      <name val="Arial"/>
      <family val="0"/>
      <charset val="1"/>
    </font>
    <font>
      <sz val="12"/>
      <color rgb="FF111827"/>
      <name val="Arial"/>
      <family val="0"/>
      <charset val="1"/>
    </font>
    <font>
      <b val="true"/>
      <sz val="12"/>
      <color rgb="FF111827"/>
      <name val="Arial"/>
      <family val="0"/>
      <charset val="1"/>
    </font>
    <font>
      <sz val="11"/>
      <color rgb="FF6B7280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11"/>
      <color rgb="FF1D4ED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11827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F766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15803D"/>
      </patternFill>
    </fill>
    <fill>
      <patternFill patternType="solid">
        <fgColor rgb="FFFFF59D"/>
        <bgColor rgb="FFFEE2E2"/>
      </patternFill>
    </fill>
    <fill>
      <patternFill patternType="solid">
        <fgColor rgb="FFCCFBF1"/>
        <bgColor rgb="FFBBF7D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766E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ont>
        <b val="1"/>
        <color rgb="FF15803D"/>
      </font>
    </dxf>
    <dxf>
      <font>
        <b val="1"/>
        <color rgb="FFB91C1C"/>
      </font>
    </dxf>
    <dxf>
      <fill>
        <patternFill>
          <bgColor rgb="FFFEE2E2"/>
        </patternFill>
      </fill>
    </dxf>
    <dxf>
      <font>
        <color rgb="FFB91C1C"/>
      </font>
    </dxf>
    <dxf>
      <font>
        <b val="1"/>
        <color rgb="FF15803D"/>
      </font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9B49"/>
      <rgbColor rgb="FF800080"/>
      <rgbColor rgb="FF0F766E"/>
      <rgbColor rgb="FFB9AFC9"/>
      <rgbColor rgb="FF878787"/>
      <rgbColor rgb="FF8064A2"/>
      <rgbColor rgb="FF9F423F"/>
      <rgbColor rgb="FFF3F4F6"/>
      <rgbColor rgb="FFCCFBF1"/>
      <rgbColor rgb="FF660066"/>
      <rgbColor rgb="FFCC7C3A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D9D9"/>
      <rgbColor rgb="FFBBF7D0"/>
      <rgbColor rgb="FFFFF59D"/>
      <rgbColor rgb="FFAABAD7"/>
      <rgbColor rgb="FFD8AAA9"/>
      <rgbColor rgb="FFC5D6AC"/>
      <rgbColor rgb="FFFEE2E2"/>
      <rgbColor rgb="FF416A9C"/>
      <rgbColor rgb="FF4BACC6"/>
      <rgbColor rgb="FF9BBB59"/>
      <rgbColor rgb="FFFFCC00"/>
      <rgbColor rgb="FFF79646"/>
      <rgbColor rgb="FFFF6600"/>
      <rgbColor rgb="FF6B7280"/>
      <rgbColor rgb="FF9CA3AF"/>
      <rgbColor rgb="FF003366"/>
      <rgbColor rgb="FF3E8EA4"/>
      <rgbColor rgb="FF111827"/>
      <rgbColor rgb="FF333300"/>
      <rgbColor rgb="FFB91C1C"/>
      <rgbColor rgb="FFC0504D"/>
      <rgbColor rgb="FF6A52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Dashboard!I8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Dashboard!$H$9:$H$20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Dashboard!$I$9:$I$20</c:f>
              <c:numCache>
                <c:formatCode>#,##0.00;[RED]\-#,##0.00;\-</c:formatCode>
                <c:ptCount val="12"/>
                <c:pt idx="0">
                  <c:v>3900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Dashboard!J8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Dashboard!$H$9:$H$20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Dashboard!$J$9:$J$20</c:f>
              <c:numCache>
                <c:formatCode>#,##0.00;[RED]\-#,##0.00;\-</c:formatCode>
                <c:ptCount val="12"/>
                <c:pt idx="0">
                  <c:v>1862.09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5087688"/>
        <c:axId val="49022841"/>
      </c:barChart>
      <c:catAx>
        <c:axId val="5508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22841"/>
        <c:crosses val="autoZero"/>
        <c:auto val="1"/>
        <c:lblAlgn val="ctr"/>
        <c:lblOffset val="100"/>
        <c:noMultiLvlLbl val="0"/>
      </c:catAx>
      <c:valAx>
        <c:axId val="49022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87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money went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b9afc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Dashboard!$B$9:$B$24</c:f>
              <c:strCache>
                <c:ptCount val="16"/>
                <c:pt idx="0">
                  <c:v>Rent / Mortgage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</c:v>
                </c:pt>
                <c:pt idx="4">
                  <c:v>Phone &amp; Internet</c:v>
                </c:pt>
                <c:pt idx="5">
                  <c:v>Eating Out</c:v>
                </c:pt>
                <c:pt idx="6">
                  <c:v>Shopping</c:v>
                </c:pt>
                <c:pt idx="7">
                  <c:v>Health</c:v>
                </c:pt>
                <c:pt idx="8">
                  <c:v>Kids / Family</c:v>
                </c:pt>
                <c:pt idx="9">
                  <c:v>Subscriptions</c:v>
                </c:pt>
                <c:pt idx="10">
                  <c:v>Education</c:v>
                </c:pt>
                <c:pt idx="11">
                  <c:v>Charity / Zakat</c:v>
                </c:pt>
                <c:pt idx="12">
                  <c:v>Entertainment</c:v>
                </c:pt>
                <c:pt idx="13">
                  <c:v>Savings Transfer</c:v>
                </c:pt>
                <c:pt idx="14">
                  <c:v>Debt Payments</c:v>
                </c:pt>
                <c:pt idx="15">
                  <c:v>Miscellaneous</c:v>
                </c:pt>
              </c:strCache>
            </c:strRef>
          </c:cat>
          <c:val>
            <c:numRef>
              <c:f>Dashboard!$D$9:$D$24</c:f>
              <c:numCache>
                <c:formatCode>#,##0.00;[RED]\-#,##0.00;\-</c:formatCode>
                <c:ptCount val="16"/>
                <c:pt idx="0">
                  <c:v>1200</c:v>
                </c:pt>
                <c:pt idx="1">
                  <c:v>184.6</c:v>
                </c:pt>
                <c:pt idx="2">
                  <c:v>74</c:v>
                </c:pt>
                <c:pt idx="3">
                  <c:v>55</c:v>
                </c:pt>
                <c:pt idx="4">
                  <c:v>0</c:v>
                </c:pt>
                <c:pt idx="5">
                  <c:v>32.5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36</xdr:row>
      <xdr:rowOff>0</xdr:rowOff>
    </xdr:from>
    <xdr:to>
      <xdr:col>12</xdr:col>
      <xdr:colOff>896400</xdr:colOff>
      <xdr:row>51</xdr:row>
      <xdr:rowOff>22320</xdr:rowOff>
    </xdr:to>
    <xdr:graphicFrame>
      <xdr:nvGraphicFramePr>
        <xdr:cNvPr id="0" name="Chart 1"/>
        <xdr:cNvGraphicFramePr/>
      </xdr:nvGraphicFramePr>
      <xdr:xfrm>
        <a:off x="6202800" y="7658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654120</xdr:colOff>
      <xdr:row>51</xdr:row>
      <xdr:rowOff>22320</xdr:rowOff>
    </xdr:to>
    <xdr:graphicFrame>
      <xdr:nvGraphicFramePr>
        <xdr:cNvPr id="1" name="Chart 2"/>
        <xdr:cNvGraphicFramePr/>
      </xdr:nvGraphicFramePr>
      <xdr:xfrm>
        <a:off x="211320" y="76582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5" customFormat="false" ht="15" hidden="false" customHeight="false" outlineLevel="0" collapsed="false">
      <c r="A15" s="6" t="s">
        <v>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42" hidden="false" customHeight="tru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7" t="s">
        <v>13</v>
      </c>
      <c r="B3" s="8" t="s">
        <v>14</v>
      </c>
    </row>
    <row r="4" customFormat="false" ht="15" hidden="false" customHeight="false" outlineLevel="0" collapsed="false">
      <c r="A4" s="7" t="s">
        <v>15</v>
      </c>
      <c r="B4" s="8" t="n">
        <v>2027</v>
      </c>
    </row>
    <row r="5" customFormat="false" ht="15" hidden="false" customHeight="false" outlineLevel="0" collapsed="false">
      <c r="A5" s="7" t="s">
        <v>16</v>
      </c>
      <c r="B5" s="9" t="n">
        <v>1000</v>
      </c>
    </row>
    <row r="7" customFormat="false" ht="30" hidden="false" customHeight="true" outlineLevel="0" collapsed="false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</row>
    <row r="8" customFormat="false" ht="15" hidden="false" customHeight="false" outlineLevel="0" collapsed="false">
      <c r="A8" s="8" t="s">
        <v>22</v>
      </c>
      <c r="B8" s="8" t="s">
        <v>23</v>
      </c>
      <c r="C8" s="9"/>
      <c r="D8" s="11" t="n">
        <f aca="false">IF(A8="","",SUMIFS(Transactions!$E:$E,Transactions!$C:$C,A8,Transactions!$B:$B,B8))</f>
        <v>3500</v>
      </c>
      <c r="E8" s="11" t="n">
        <f aca="false">IF(A8="","",D8/MAX(1,MAX(Transactions!$F:$F)))</f>
        <v>3500</v>
      </c>
    </row>
    <row r="9" customFormat="false" ht="15" hidden="false" customHeight="false" outlineLevel="0" collapsed="false">
      <c r="A9" s="8" t="s">
        <v>24</v>
      </c>
      <c r="B9" s="8" t="s">
        <v>23</v>
      </c>
      <c r="C9" s="9"/>
      <c r="D9" s="11" t="n">
        <f aca="false">IF(A9="","",SUMIFS(Transactions!$E:$E,Transactions!$C:$C,A9,Transactions!$B:$B,B9))</f>
        <v>400</v>
      </c>
      <c r="E9" s="11" t="n">
        <f aca="false">IF(A9="","",D9/MAX(1,MAX(Transactions!$F:$F)))</f>
        <v>400</v>
      </c>
    </row>
    <row r="10" customFormat="false" ht="15" hidden="false" customHeight="false" outlineLevel="0" collapsed="false">
      <c r="A10" s="8" t="s">
        <v>25</v>
      </c>
      <c r="B10" s="8" t="s">
        <v>23</v>
      </c>
      <c r="C10" s="9"/>
      <c r="D10" s="11" t="n">
        <f aca="false">IF(A10="","",SUMIFS(Transactions!$E:$E,Transactions!$C:$C,A10,Transactions!$B:$B,B10))</f>
        <v>0</v>
      </c>
      <c r="E10" s="11" t="n">
        <f aca="false">IF(A10="","",D10/MAX(1,MAX(Transactions!$F:$F)))</f>
        <v>0</v>
      </c>
    </row>
    <row r="11" customFormat="false" ht="15" hidden="false" customHeight="false" outlineLevel="0" collapsed="false">
      <c r="A11" s="8" t="s">
        <v>26</v>
      </c>
      <c r="B11" s="8" t="s">
        <v>27</v>
      </c>
      <c r="C11" s="9" t="n">
        <v>1200</v>
      </c>
      <c r="D11" s="11" t="n">
        <f aca="false">IF(A11="","",SUMIFS(Transactions!$E:$E,Transactions!$C:$C,A11,Transactions!$B:$B,B11))</f>
        <v>1200</v>
      </c>
      <c r="E11" s="11" t="n">
        <f aca="false">IF(A11="","",D11/MAX(1,MAX(Transactions!$F:$F)))</f>
        <v>1200</v>
      </c>
    </row>
    <row r="12" customFormat="false" ht="15" hidden="false" customHeight="false" outlineLevel="0" collapsed="false">
      <c r="A12" s="8" t="s">
        <v>28</v>
      </c>
      <c r="B12" s="8" t="s">
        <v>27</v>
      </c>
      <c r="C12" s="9" t="n">
        <v>450</v>
      </c>
      <c r="D12" s="11" t="n">
        <f aca="false">IF(A12="","",SUMIFS(Transactions!$E:$E,Transactions!$C:$C,A12,Transactions!$B:$B,B12))</f>
        <v>184.6</v>
      </c>
      <c r="E12" s="11" t="n">
        <f aca="false">IF(A12="","",D12/MAX(1,MAX(Transactions!$F:$F)))</f>
        <v>184.6</v>
      </c>
    </row>
    <row r="13" customFormat="false" ht="15" hidden="false" customHeight="false" outlineLevel="0" collapsed="false">
      <c r="A13" s="8" t="s">
        <v>29</v>
      </c>
      <c r="B13" s="8" t="s">
        <v>27</v>
      </c>
      <c r="C13" s="9" t="n">
        <v>180</v>
      </c>
      <c r="D13" s="11" t="n">
        <f aca="false">IF(A13="","",SUMIFS(Transactions!$E:$E,Transactions!$C:$C,A13,Transactions!$B:$B,B13))</f>
        <v>74</v>
      </c>
      <c r="E13" s="11" t="n">
        <f aca="false">IF(A13="","",D13/MAX(1,MAX(Transactions!$F:$F)))</f>
        <v>74</v>
      </c>
    </row>
    <row r="14" customFormat="false" ht="15" hidden="false" customHeight="false" outlineLevel="0" collapsed="false">
      <c r="A14" s="8" t="s">
        <v>30</v>
      </c>
      <c r="B14" s="8" t="s">
        <v>27</v>
      </c>
      <c r="C14" s="9" t="n">
        <v>200</v>
      </c>
      <c r="D14" s="11" t="n">
        <f aca="false">IF(A14="","",SUMIFS(Transactions!$E:$E,Transactions!$C:$C,A14,Transactions!$B:$B,B14))</f>
        <v>55</v>
      </c>
      <c r="E14" s="11" t="n">
        <f aca="false">IF(A14="","",D14/MAX(1,MAX(Transactions!$F:$F)))</f>
        <v>55</v>
      </c>
    </row>
    <row r="15" customFormat="false" ht="15" hidden="false" customHeight="false" outlineLevel="0" collapsed="false">
      <c r="A15" s="8" t="s">
        <v>31</v>
      </c>
      <c r="B15" s="8" t="s">
        <v>27</v>
      </c>
      <c r="C15" s="9" t="n">
        <v>80</v>
      </c>
      <c r="D15" s="11" t="n">
        <f aca="false">IF(A15="","",SUMIFS(Transactions!$E:$E,Transactions!$C:$C,A15,Transactions!$B:$B,B15))</f>
        <v>0</v>
      </c>
      <c r="E15" s="11" t="n">
        <f aca="false">IF(A15="","",D15/MAX(1,MAX(Transactions!$F:$F)))</f>
        <v>0</v>
      </c>
    </row>
    <row r="16" customFormat="false" ht="15" hidden="false" customHeight="false" outlineLevel="0" collapsed="false">
      <c r="A16" s="8" t="s">
        <v>32</v>
      </c>
      <c r="B16" s="8" t="s">
        <v>27</v>
      </c>
      <c r="C16" s="9" t="n">
        <v>150</v>
      </c>
      <c r="D16" s="11" t="n">
        <f aca="false">IF(A16="","",SUMIFS(Transactions!$E:$E,Transactions!$C:$C,A16,Transactions!$B:$B,B16))</f>
        <v>32.5</v>
      </c>
      <c r="E16" s="11" t="n">
        <f aca="false">IF(A16="","",D16/MAX(1,MAX(Transactions!$F:$F)))</f>
        <v>32.5</v>
      </c>
    </row>
    <row r="17" customFormat="false" ht="15" hidden="false" customHeight="false" outlineLevel="0" collapsed="false">
      <c r="A17" s="8" t="s">
        <v>33</v>
      </c>
      <c r="B17" s="8" t="s">
        <v>27</v>
      </c>
      <c r="C17" s="9" t="n">
        <v>120</v>
      </c>
      <c r="D17" s="11" t="n">
        <f aca="false">IF(A17="","",SUMIFS(Transactions!$E:$E,Transactions!$C:$C,A17,Transactions!$B:$B,B17))</f>
        <v>0</v>
      </c>
      <c r="E17" s="11" t="n">
        <f aca="false">IF(A17="","",D17/MAX(1,MAX(Transactions!$F:$F)))</f>
        <v>0</v>
      </c>
    </row>
    <row r="18" customFormat="false" ht="15" hidden="false" customHeight="false" outlineLevel="0" collapsed="false">
      <c r="A18" s="8" t="s">
        <v>34</v>
      </c>
      <c r="B18" s="8" t="s">
        <v>27</v>
      </c>
      <c r="C18" s="9" t="n">
        <v>60</v>
      </c>
      <c r="D18" s="11" t="n">
        <f aca="false">IF(A18="","",SUMIFS(Transactions!$E:$E,Transactions!$C:$C,A18,Transactions!$B:$B,B18))</f>
        <v>0</v>
      </c>
      <c r="E18" s="11" t="n">
        <f aca="false">IF(A18="","",D18/MAX(1,MAX(Transactions!$F:$F)))</f>
        <v>0</v>
      </c>
    </row>
    <row r="19" customFormat="false" ht="15" hidden="false" customHeight="false" outlineLevel="0" collapsed="false">
      <c r="A19" s="8" t="s">
        <v>35</v>
      </c>
      <c r="B19" s="8" t="s">
        <v>27</v>
      </c>
      <c r="C19" s="9" t="n">
        <v>150</v>
      </c>
      <c r="D19" s="11" t="n">
        <f aca="false">IF(A19="","",SUMIFS(Transactions!$E:$E,Transactions!$C:$C,A19,Transactions!$B:$B,B19))</f>
        <v>0</v>
      </c>
      <c r="E19" s="11" t="n">
        <f aca="false">IF(A19="","",D19/MAX(1,MAX(Transactions!$F:$F)))</f>
        <v>0</v>
      </c>
    </row>
    <row r="20" customFormat="false" ht="15" hidden="false" customHeight="false" outlineLevel="0" collapsed="false">
      <c r="A20" s="8" t="s">
        <v>36</v>
      </c>
      <c r="B20" s="8" t="s">
        <v>27</v>
      </c>
      <c r="C20" s="9" t="n">
        <v>40</v>
      </c>
      <c r="D20" s="11" t="n">
        <f aca="false">IF(A20="","",SUMIFS(Transactions!$E:$E,Transactions!$C:$C,A20,Transactions!$B:$B,B20))</f>
        <v>15.99</v>
      </c>
      <c r="E20" s="11" t="n">
        <f aca="false">IF(A20="","",D20/MAX(1,MAX(Transactions!$F:$F)))</f>
        <v>15.99</v>
      </c>
    </row>
    <row r="21" customFormat="false" ht="15" hidden="false" customHeight="false" outlineLevel="0" collapsed="false">
      <c r="A21" s="8" t="s">
        <v>37</v>
      </c>
      <c r="B21" s="8" t="s">
        <v>27</v>
      </c>
      <c r="C21" s="9" t="n">
        <v>50</v>
      </c>
      <c r="D21" s="11" t="n">
        <f aca="false">IF(A21="","",SUMIFS(Transactions!$E:$E,Transactions!$C:$C,A21,Transactions!$B:$B,B21))</f>
        <v>0</v>
      </c>
      <c r="E21" s="11" t="n">
        <f aca="false">IF(A21="","",D21/MAX(1,MAX(Transactions!$F:$F)))</f>
        <v>0</v>
      </c>
    </row>
    <row r="22" customFormat="false" ht="15" hidden="false" customHeight="false" outlineLevel="0" collapsed="false">
      <c r="A22" s="8" t="s">
        <v>38</v>
      </c>
      <c r="B22" s="8" t="s">
        <v>27</v>
      </c>
      <c r="C22" s="9" t="n">
        <v>50</v>
      </c>
      <c r="D22" s="11" t="n">
        <f aca="false">IF(A22="","",SUMIFS(Transactions!$E:$E,Transactions!$C:$C,A22,Transactions!$B:$B,B22))</f>
        <v>0</v>
      </c>
      <c r="E22" s="11" t="n">
        <f aca="false">IF(A22="","",D22/MAX(1,MAX(Transactions!$F:$F)))</f>
        <v>0</v>
      </c>
    </row>
    <row r="23" customFormat="false" ht="15" hidden="false" customHeight="false" outlineLevel="0" collapsed="false">
      <c r="A23" s="8" t="s">
        <v>39</v>
      </c>
      <c r="B23" s="8" t="s">
        <v>27</v>
      </c>
      <c r="C23" s="9" t="n">
        <v>60</v>
      </c>
      <c r="D23" s="11" t="n">
        <f aca="false">IF(A23="","",SUMIFS(Transactions!$E:$E,Transactions!$C:$C,A23,Transactions!$B:$B,B23))</f>
        <v>0</v>
      </c>
      <c r="E23" s="11" t="n">
        <f aca="false">IF(A23="","",D23/MAX(1,MAX(Transactions!$F:$F)))</f>
        <v>0</v>
      </c>
    </row>
    <row r="24" customFormat="false" ht="15" hidden="false" customHeight="false" outlineLevel="0" collapsed="false">
      <c r="A24" s="8" t="s">
        <v>40</v>
      </c>
      <c r="B24" s="8" t="s">
        <v>27</v>
      </c>
      <c r="C24" s="9" t="n">
        <v>300</v>
      </c>
      <c r="D24" s="11" t="n">
        <f aca="false">IF(A24="","",SUMIFS(Transactions!$E:$E,Transactions!$C:$C,A24,Transactions!$B:$B,B24))</f>
        <v>300</v>
      </c>
      <c r="E24" s="11" t="n">
        <f aca="false">IF(A24="","",D24/MAX(1,MAX(Transactions!$F:$F)))</f>
        <v>300</v>
      </c>
    </row>
    <row r="25" customFormat="false" ht="15" hidden="false" customHeight="false" outlineLevel="0" collapsed="false">
      <c r="A25" s="8" t="s">
        <v>41</v>
      </c>
      <c r="B25" s="8" t="s">
        <v>27</v>
      </c>
      <c r="C25" s="9" t="n">
        <v>200</v>
      </c>
      <c r="D25" s="11" t="n">
        <f aca="false">IF(A25="","",SUMIFS(Transactions!$E:$E,Transactions!$C:$C,A25,Transactions!$B:$B,B25))</f>
        <v>0</v>
      </c>
      <c r="E25" s="11" t="n">
        <f aca="false">IF(A25="","",D25/MAX(1,MAX(Transactions!$F:$F)))</f>
        <v>0</v>
      </c>
    </row>
    <row r="26" customFormat="false" ht="15" hidden="false" customHeight="false" outlineLevel="0" collapsed="false">
      <c r="A26" s="8" t="s">
        <v>42</v>
      </c>
      <c r="B26" s="8" t="s">
        <v>27</v>
      </c>
      <c r="C26" s="9" t="n">
        <v>50</v>
      </c>
      <c r="D26" s="11" t="n">
        <f aca="false">IF(A26="","",SUMIFS(Transactions!$E:$E,Transactions!$C:$C,A26,Transactions!$B:$B,B26))</f>
        <v>0</v>
      </c>
      <c r="E26" s="11" t="n">
        <f aca="false">IF(A26="","",D26/MAX(1,MAX(Transactions!$F:$F)))</f>
        <v>0</v>
      </c>
    </row>
    <row r="27" customFormat="false" ht="15" hidden="false" customHeight="false" outlineLevel="0" collapsed="false">
      <c r="A27" s="8"/>
      <c r="B27" s="8"/>
      <c r="C27" s="9"/>
      <c r="D27" s="11" t="str">
        <f aca="false">IF(A27="","",SUMIFS(Transactions!$E:$E,Transactions!$C:$C,A27,Transactions!$B:$B,B27))</f>
        <v/>
      </c>
      <c r="E27" s="11" t="str">
        <f aca="false">IF(A27="","",D27/MAX(1,MAX(Transactions!$F:$F)))</f>
        <v/>
      </c>
    </row>
    <row r="28" customFormat="false" ht="15" hidden="false" customHeight="false" outlineLevel="0" collapsed="false">
      <c r="A28" s="8"/>
      <c r="B28" s="8"/>
      <c r="C28" s="9"/>
      <c r="D28" s="11" t="str">
        <f aca="false">IF(A28="","",SUMIFS(Transactions!$E:$E,Transactions!$C:$C,A28,Transactions!$B:$B,B28))</f>
        <v/>
      </c>
      <c r="E28" s="11" t="str">
        <f aca="false">IF(A28="","",D28/MAX(1,MAX(Transactions!$F:$F)))</f>
        <v/>
      </c>
    </row>
    <row r="29" customFormat="false" ht="15" hidden="false" customHeight="false" outlineLevel="0" collapsed="false">
      <c r="A29" s="8"/>
      <c r="B29" s="8"/>
      <c r="C29" s="9"/>
      <c r="D29" s="11" t="str">
        <f aca="false">IF(A29="","",SUMIFS(Transactions!$E:$E,Transactions!$C:$C,A29,Transactions!$B:$B,B29))</f>
        <v/>
      </c>
      <c r="E29" s="11" t="str">
        <f aca="false">IF(A29="","",D29/MAX(1,MAX(Transactions!$F:$F)))</f>
        <v/>
      </c>
    </row>
    <row r="30" customFormat="false" ht="15" hidden="false" customHeight="false" outlineLevel="0" collapsed="false">
      <c r="A30" s="8"/>
      <c r="B30" s="8"/>
      <c r="C30" s="9"/>
      <c r="D30" s="11" t="str">
        <f aca="false">IF(A30="","",SUMIFS(Transactions!$E:$E,Transactions!$C:$C,A30,Transactions!$B:$B,B30))</f>
        <v/>
      </c>
      <c r="E30" s="11" t="str">
        <f aca="false">IF(A30="","",D30/MAX(1,MAX(Transactions!$F:$F)))</f>
        <v/>
      </c>
    </row>
    <row r="31" customFormat="false" ht="15" hidden="false" customHeight="false" outlineLevel="0" collapsed="false">
      <c r="A31" s="8"/>
      <c r="B31" s="8"/>
      <c r="C31" s="9"/>
      <c r="D31" s="11" t="str">
        <f aca="false">IF(A31="","",SUMIFS(Transactions!$E:$E,Transactions!$C:$C,A31,Transactions!$B:$B,B31))</f>
        <v/>
      </c>
      <c r="E31" s="11" t="str">
        <f aca="false">IF(A31="","",D31/MAX(1,MAX(Transactions!$F:$F)))</f>
        <v/>
      </c>
    </row>
    <row r="32" customFormat="false" ht="15" hidden="false" customHeight="false" outlineLevel="0" collapsed="false">
      <c r="A32" s="8"/>
      <c r="B32" s="8"/>
      <c r="C32" s="9"/>
      <c r="D32" s="11" t="str">
        <f aca="false">IF(A32="","",SUMIFS(Transactions!$E:$E,Transactions!$C:$C,A32,Transactions!$B:$B,B32))</f>
        <v/>
      </c>
      <c r="E32" s="11" t="str">
        <f aca="false">IF(A32="","",D32/MAX(1,MAX(Transactions!$F:$F)))</f>
        <v/>
      </c>
    </row>
    <row r="33" customFormat="false" ht="15" hidden="false" customHeight="false" outlineLevel="0" collapsed="false">
      <c r="A33" s="8"/>
      <c r="B33" s="8"/>
      <c r="C33" s="9"/>
      <c r="D33" s="11" t="str">
        <f aca="false">IF(A33="","",SUMIFS(Transactions!$E:$E,Transactions!$C:$C,A33,Transactions!$B:$B,B33))</f>
        <v/>
      </c>
      <c r="E33" s="11" t="str">
        <f aca="false">IF(A33="","",D33/MAX(1,MAX(Transactions!$F:$F)))</f>
        <v/>
      </c>
    </row>
    <row r="34" customFormat="false" ht="15" hidden="false" customHeight="false" outlineLevel="0" collapsed="false">
      <c r="A34" s="8"/>
      <c r="B34" s="8"/>
      <c r="C34" s="9"/>
      <c r="D34" s="11" t="str">
        <f aca="false">IF(A34="","",SUMIFS(Transactions!$E:$E,Transactions!$C:$C,A34,Transactions!$B:$B,B34))</f>
        <v/>
      </c>
      <c r="E34" s="11" t="str">
        <f aca="false">IF(A34="","",D34/MAX(1,MAX(Transactions!$F:$F)))</f>
        <v/>
      </c>
    </row>
    <row r="35" customFormat="false" ht="15" hidden="false" customHeight="false" outlineLevel="0" collapsed="false">
      <c r="A35" s="8"/>
      <c r="B35" s="8"/>
      <c r="C35" s="9"/>
      <c r="D35" s="11" t="str">
        <f aca="false">IF(A35="","",SUMIFS(Transactions!$E:$E,Transactions!$C:$C,A35,Transactions!$B:$B,B35))</f>
        <v/>
      </c>
      <c r="E35" s="11" t="str">
        <f aca="false">IF(A35="","",D35/MAX(1,MAX(Transactions!$F:$F)))</f>
        <v/>
      </c>
    </row>
    <row r="36" customFormat="false" ht="15" hidden="false" customHeight="false" outlineLevel="0" collapsed="false">
      <c r="A36" s="8"/>
      <c r="B36" s="8"/>
      <c r="C36" s="9"/>
      <c r="D36" s="11" t="str">
        <f aca="false">IF(A36="","",SUMIFS(Transactions!$E:$E,Transactions!$C:$C,A36,Transactions!$B:$B,B36))</f>
        <v/>
      </c>
      <c r="E36" s="11" t="str">
        <f aca="false">IF(A36="","",D36/MAX(1,MAX(Transactions!$F:$F)))</f>
        <v/>
      </c>
    </row>
    <row r="37" customFormat="false" ht="15" hidden="false" customHeight="false" outlineLevel="0" collapsed="false">
      <c r="A37" s="8"/>
      <c r="B37" s="8"/>
      <c r="C37" s="9"/>
      <c r="D37" s="11" t="str">
        <f aca="false">IF(A37="","",SUMIFS(Transactions!$E:$E,Transactions!$C:$C,A37,Transactions!$B:$B,B37))</f>
        <v/>
      </c>
      <c r="E37" s="11" t="str">
        <f aca="false">IF(A37="","",D37/MAX(1,MAX(Transactions!$F:$F)))</f>
        <v/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B8:B37" type="list">
      <formula1>"Income,Expense"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9"/>
  </cols>
  <sheetData>
    <row r="1" customFormat="false" ht="42" hidden="false" customHeight="true" outlineLevel="0" collapsed="false">
      <c r="A1" s="1" t="s">
        <v>43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10" t="s">
        <v>44</v>
      </c>
      <c r="B3" s="10" t="s">
        <v>18</v>
      </c>
      <c r="C3" s="10" t="s">
        <v>17</v>
      </c>
      <c r="D3" s="10" t="s">
        <v>45</v>
      </c>
      <c r="E3" s="10" t="s">
        <v>46</v>
      </c>
      <c r="F3" s="10" t="s">
        <v>47</v>
      </c>
    </row>
    <row r="4" customFormat="false" ht="15" hidden="false" customHeight="false" outlineLevel="0" collapsed="false">
      <c r="A4" s="12" t="n">
        <v>46388</v>
      </c>
      <c r="B4" s="8" t="s">
        <v>23</v>
      </c>
      <c r="C4" s="8" t="s">
        <v>22</v>
      </c>
      <c r="D4" s="8" t="s">
        <v>48</v>
      </c>
      <c r="E4" s="9" t="n">
        <v>3500</v>
      </c>
      <c r="F4" s="13" t="n">
        <f aca="false">IF(A4="","",MONTH(A4))</f>
        <v>1</v>
      </c>
    </row>
    <row r="5" customFormat="false" ht="15" hidden="false" customHeight="false" outlineLevel="0" collapsed="false">
      <c r="A5" s="12" t="n">
        <v>46389</v>
      </c>
      <c r="B5" s="8" t="s">
        <v>27</v>
      </c>
      <c r="C5" s="8" t="s">
        <v>26</v>
      </c>
      <c r="D5" s="8" t="s">
        <v>49</v>
      </c>
      <c r="E5" s="9" t="n">
        <v>1200</v>
      </c>
      <c r="F5" s="13" t="n">
        <f aca="false">IF(A5="","",MONTH(A5))</f>
        <v>1</v>
      </c>
    </row>
    <row r="6" customFormat="false" ht="15" hidden="false" customHeight="false" outlineLevel="0" collapsed="false">
      <c r="A6" s="12" t="n">
        <v>46390</v>
      </c>
      <c r="B6" s="8" t="s">
        <v>27</v>
      </c>
      <c r="C6" s="8" t="s">
        <v>28</v>
      </c>
      <c r="D6" s="8" t="s">
        <v>50</v>
      </c>
      <c r="E6" s="9" t="n">
        <v>96.4</v>
      </c>
      <c r="F6" s="13" t="n">
        <f aca="false">IF(A6="","",MONTH(A6))</f>
        <v>1</v>
      </c>
    </row>
    <row r="7" customFormat="false" ht="15" hidden="false" customHeight="false" outlineLevel="0" collapsed="false">
      <c r="A7" s="12" t="n">
        <v>46392</v>
      </c>
      <c r="B7" s="8" t="s">
        <v>27</v>
      </c>
      <c r="C7" s="8" t="s">
        <v>30</v>
      </c>
      <c r="D7" s="8" t="s">
        <v>51</v>
      </c>
      <c r="E7" s="9" t="n">
        <v>55</v>
      </c>
      <c r="F7" s="13" t="n">
        <f aca="false">IF(A7="","",MONTH(A7))</f>
        <v>1</v>
      </c>
    </row>
    <row r="8" customFormat="false" ht="15" hidden="false" customHeight="false" outlineLevel="0" collapsed="false">
      <c r="A8" s="12" t="n">
        <v>46395</v>
      </c>
      <c r="B8" s="8" t="s">
        <v>27</v>
      </c>
      <c r="C8" s="8" t="s">
        <v>32</v>
      </c>
      <c r="D8" s="8" t="s">
        <v>52</v>
      </c>
      <c r="E8" s="9" t="n">
        <v>32.5</v>
      </c>
      <c r="F8" s="13" t="n">
        <f aca="false">IF(A8="","",MONTH(A8))</f>
        <v>1</v>
      </c>
    </row>
    <row r="9" customFormat="false" ht="15" hidden="false" customHeight="false" outlineLevel="0" collapsed="false">
      <c r="A9" s="12" t="n">
        <v>46399</v>
      </c>
      <c r="B9" s="8" t="s">
        <v>27</v>
      </c>
      <c r="C9" s="8" t="s">
        <v>29</v>
      </c>
      <c r="D9" s="8" t="s">
        <v>53</v>
      </c>
      <c r="E9" s="9" t="n">
        <v>74</v>
      </c>
      <c r="F9" s="13" t="n">
        <f aca="false">IF(A9="","",MONTH(A9))</f>
        <v>1</v>
      </c>
    </row>
    <row r="10" customFormat="false" ht="15" hidden="false" customHeight="false" outlineLevel="0" collapsed="false">
      <c r="A10" s="12" t="n">
        <v>46402</v>
      </c>
      <c r="B10" s="8" t="s">
        <v>23</v>
      </c>
      <c r="C10" s="8" t="s">
        <v>24</v>
      </c>
      <c r="D10" s="8" t="s">
        <v>54</v>
      </c>
      <c r="E10" s="9" t="n">
        <v>400</v>
      </c>
      <c r="F10" s="13" t="n">
        <f aca="false">IF(A10="","",MONTH(A10))</f>
        <v>1</v>
      </c>
    </row>
    <row r="11" customFormat="false" ht="15" hidden="false" customHeight="false" outlineLevel="0" collapsed="false">
      <c r="A11" s="12" t="n">
        <v>46405</v>
      </c>
      <c r="B11" s="8" t="s">
        <v>27</v>
      </c>
      <c r="C11" s="8" t="s">
        <v>36</v>
      </c>
      <c r="D11" s="8" t="s">
        <v>55</v>
      </c>
      <c r="E11" s="9" t="n">
        <v>15.99</v>
      </c>
      <c r="F11" s="13" t="n">
        <f aca="false">IF(A11="","",MONTH(A11))</f>
        <v>1</v>
      </c>
    </row>
    <row r="12" customFormat="false" ht="15" hidden="false" customHeight="false" outlineLevel="0" collapsed="false">
      <c r="A12" s="12" t="n">
        <v>46407</v>
      </c>
      <c r="B12" s="8" t="s">
        <v>27</v>
      </c>
      <c r="C12" s="8" t="s">
        <v>40</v>
      </c>
      <c r="D12" s="8" t="s">
        <v>56</v>
      </c>
      <c r="E12" s="9" t="n">
        <v>300</v>
      </c>
      <c r="F12" s="13" t="n">
        <f aca="false">IF(A12="","",MONTH(A12))</f>
        <v>1</v>
      </c>
    </row>
    <row r="13" customFormat="false" ht="15" hidden="false" customHeight="false" outlineLevel="0" collapsed="false">
      <c r="A13" s="12" t="n">
        <v>46411</v>
      </c>
      <c r="B13" s="8" t="s">
        <v>27</v>
      </c>
      <c r="C13" s="8" t="s">
        <v>28</v>
      </c>
      <c r="D13" s="8" t="s">
        <v>57</v>
      </c>
      <c r="E13" s="9" t="n">
        <v>88.2</v>
      </c>
      <c r="F13" s="13" t="n">
        <f aca="false">IF(A13="","",MONTH(A13))</f>
        <v>1</v>
      </c>
    </row>
    <row r="14" customFormat="false" ht="15" hidden="false" customHeight="false" outlineLevel="0" collapsed="false">
      <c r="A14" s="12"/>
      <c r="B14" s="8"/>
      <c r="C14" s="8"/>
      <c r="D14" s="8"/>
      <c r="E14" s="9"/>
      <c r="F14" s="13" t="str">
        <f aca="false">IF(A14="","",MONTH(A14))</f>
        <v/>
      </c>
    </row>
    <row r="15" customFormat="false" ht="15" hidden="false" customHeight="false" outlineLevel="0" collapsed="false">
      <c r="A15" s="12"/>
      <c r="B15" s="8"/>
      <c r="C15" s="8"/>
      <c r="D15" s="8"/>
      <c r="E15" s="9"/>
      <c r="F15" s="13" t="str">
        <f aca="false">IF(A15="","",MONTH(A15))</f>
        <v/>
      </c>
    </row>
    <row r="16" customFormat="false" ht="15" hidden="false" customHeight="false" outlineLevel="0" collapsed="false">
      <c r="A16" s="12"/>
      <c r="B16" s="8"/>
      <c r="C16" s="8"/>
      <c r="D16" s="8"/>
      <c r="E16" s="9"/>
      <c r="F16" s="13" t="str">
        <f aca="false">IF(A16="","",MONTH(A16))</f>
        <v/>
      </c>
    </row>
    <row r="17" customFormat="false" ht="15" hidden="false" customHeight="false" outlineLevel="0" collapsed="false">
      <c r="A17" s="12"/>
      <c r="B17" s="8"/>
      <c r="C17" s="8"/>
      <c r="D17" s="8"/>
      <c r="E17" s="9"/>
      <c r="F17" s="13" t="str">
        <f aca="false">IF(A17="","",MONTH(A17))</f>
        <v/>
      </c>
    </row>
    <row r="18" customFormat="false" ht="15" hidden="false" customHeight="false" outlineLevel="0" collapsed="false">
      <c r="A18" s="12"/>
      <c r="B18" s="8"/>
      <c r="C18" s="8"/>
      <c r="D18" s="8"/>
      <c r="E18" s="9"/>
      <c r="F18" s="13" t="str">
        <f aca="false">IF(A18="","",MONTH(A18))</f>
        <v/>
      </c>
    </row>
    <row r="19" customFormat="false" ht="15" hidden="false" customHeight="false" outlineLevel="0" collapsed="false">
      <c r="A19" s="12"/>
      <c r="B19" s="8"/>
      <c r="C19" s="8"/>
      <c r="D19" s="8"/>
      <c r="E19" s="9"/>
      <c r="F19" s="13" t="str">
        <f aca="false">IF(A19="","",MONTH(A19))</f>
        <v/>
      </c>
    </row>
    <row r="20" customFormat="false" ht="15" hidden="false" customHeight="false" outlineLevel="0" collapsed="false">
      <c r="A20" s="12"/>
      <c r="B20" s="8"/>
      <c r="C20" s="8"/>
      <c r="D20" s="8"/>
      <c r="E20" s="9"/>
      <c r="F20" s="13" t="str">
        <f aca="false">IF(A20="","",MONTH(A20))</f>
        <v/>
      </c>
    </row>
    <row r="21" customFormat="false" ht="15" hidden="false" customHeight="false" outlineLevel="0" collapsed="false">
      <c r="A21" s="12"/>
      <c r="B21" s="8"/>
      <c r="C21" s="8"/>
      <c r="D21" s="8"/>
      <c r="E21" s="9"/>
      <c r="F21" s="13" t="str">
        <f aca="false">IF(A21="","",MONTH(A21))</f>
        <v/>
      </c>
    </row>
    <row r="22" customFormat="false" ht="15" hidden="false" customHeight="false" outlineLevel="0" collapsed="false">
      <c r="A22" s="12"/>
      <c r="B22" s="8"/>
      <c r="C22" s="8"/>
      <c r="D22" s="8"/>
      <c r="E22" s="9"/>
      <c r="F22" s="13" t="str">
        <f aca="false">IF(A22="","",MONTH(A22))</f>
        <v/>
      </c>
    </row>
    <row r="23" customFormat="false" ht="15" hidden="false" customHeight="false" outlineLevel="0" collapsed="false">
      <c r="A23" s="12"/>
      <c r="B23" s="8"/>
      <c r="C23" s="8"/>
      <c r="D23" s="8"/>
      <c r="E23" s="9"/>
      <c r="F23" s="13" t="str">
        <f aca="false">IF(A23="","",MONTH(A23))</f>
        <v/>
      </c>
    </row>
    <row r="24" customFormat="false" ht="15" hidden="false" customHeight="false" outlineLevel="0" collapsed="false">
      <c r="A24" s="12"/>
      <c r="B24" s="8"/>
      <c r="C24" s="8"/>
      <c r="D24" s="8"/>
      <c r="E24" s="9"/>
      <c r="F24" s="13" t="str">
        <f aca="false">IF(A24="","",MONTH(A24))</f>
        <v/>
      </c>
    </row>
    <row r="25" customFormat="false" ht="15" hidden="false" customHeight="false" outlineLevel="0" collapsed="false">
      <c r="A25" s="12"/>
      <c r="B25" s="8"/>
      <c r="C25" s="8"/>
      <c r="D25" s="8"/>
      <c r="E25" s="9"/>
      <c r="F25" s="13" t="str">
        <f aca="false">IF(A25="","",MONTH(A25))</f>
        <v/>
      </c>
    </row>
    <row r="26" customFormat="false" ht="15" hidden="false" customHeight="false" outlineLevel="0" collapsed="false">
      <c r="A26" s="12"/>
      <c r="B26" s="8"/>
      <c r="C26" s="8"/>
      <c r="D26" s="8"/>
      <c r="E26" s="9"/>
      <c r="F26" s="13" t="str">
        <f aca="false">IF(A26="","",MONTH(A26))</f>
        <v/>
      </c>
    </row>
    <row r="27" customFormat="false" ht="15" hidden="false" customHeight="false" outlineLevel="0" collapsed="false">
      <c r="A27" s="12"/>
      <c r="B27" s="8"/>
      <c r="C27" s="8"/>
      <c r="D27" s="8"/>
      <c r="E27" s="9"/>
      <c r="F27" s="13" t="str">
        <f aca="false">IF(A27="","",MONTH(A27))</f>
        <v/>
      </c>
    </row>
    <row r="28" customFormat="false" ht="15" hidden="false" customHeight="false" outlineLevel="0" collapsed="false">
      <c r="A28" s="12"/>
      <c r="B28" s="8"/>
      <c r="C28" s="8"/>
      <c r="D28" s="8"/>
      <c r="E28" s="9"/>
      <c r="F28" s="13" t="str">
        <f aca="false">IF(A28="","",MONTH(A28))</f>
        <v/>
      </c>
    </row>
    <row r="29" customFormat="false" ht="15" hidden="false" customHeight="false" outlineLevel="0" collapsed="false">
      <c r="A29" s="12"/>
      <c r="B29" s="8"/>
      <c r="C29" s="8"/>
      <c r="D29" s="8"/>
      <c r="E29" s="9"/>
      <c r="F29" s="13" t="str">
        <f aca="false">IF(A29="","",MONTH(A29))</f>
        <v/>
      </c>
    </row>
    <row r="30" customFormat="false" ht="15" hidden="false" customHeight="false" outlineLevel="0" collapsed="false">
      <c r="A30" s="12"/>
      <c r="B30" s="8"/>
      <c r="C30" s="8"/>
      <c r="D30" s="8"/>
      <c r="E30" s="9"/>
      <c r="F30" s="13" t="str">
        <f aca="false">IF(A30="","",MONTH(A30))</f>
        <v/>
      </c>
    </row>
    <row r="31" customFormat="false" ht="15" hidden="false" customHeight="false" outlineLevel="0" collapsed="false">
      <c r="A31" s="12"/>
      <c r="B31" s="8"/>
      <c r="C31" s="8"/>
      <c r="D31" s="8"/>
      <c r="E31" s="9"/>
      <c r="F31" s="13" t="str">
        <f aca="false">IF(A31="","",MONTH(A31))</f>
        <v/>
      </c>
    </row>
    <row r="32" customFormat="false" ht="15" hidden="false" customHeight="false" outlineLevel="0" collapsed="false">
      <c r="A32" s="12"/>
      <c r="B32" s="8"/>
      <c r="C32" s="8"/>
      <c r="D32" s="8"/>
      <c r="E32" s="9"/>
      <c r="F32" s="13" t="str">
        <f aca="false">IF(A32="","",MONTH(A32))</f>
        <v/>
      </c>
    </row>
    <row r="33" customFormat="false" ht="15" hidden="false" customHeight="false" outlineLevel="0" collapsed="false">
      <c r="A33" s="12"/>
      <c r="B33" s="8"/>
      <c r="C33" s="8"/>
      <c r="D33" s="8"/>
      <c r="E33" s="9"/>
      <c r="F33" s="13" t="str">
        <f aca="false">IF(A33="","",MONTH(A33))</f>
        <v/>
      </c>
    </row>
    <row r="34" customFormat="false" ht="15" hidden="false" customHeight="false" outlineLevel="0" collapsed="false">
      <c r="A34" s="12"/>
      <c r="B34" s="8"/>
      <c r="C34" s="8"/>
      <c r="D34" s="8"/>
      <c r="E34" s="9"/>
      <c r="F34" s="13" t="str">
        <f aca="false">IF(A34="","",MONTH(A34))</f>
        <v/>
      </c>
    </row>
    <row r="35" customFormat="false" ht="15" hidden="false" customHeight="false" outlineLevel="0" collapsed="false">
      <c r="A35" s="12"/>
      <c r="B35" s="8"/>
      <c r="C35" s="8"/>
      <c r="D35" s="8"/>
      <c r="E35" s="9"/>
      <c r="F35" s="13" t="str">
        <f aca="false">IF(A35="","",MONTH(A35))</f>
        <v/>
      </c>
    </row>
    <row r="36" customFormat="false" ht="15" hidden="false" customHeight="false" outlineLevel="0" collapsed="false">
      <c r="A36" s="12"/>
      <c r="B36" s="8"/>
      <c r="C36" s="8"/>
      <c r="D36" s="8"/>
      <c r="E36" s="9"/>
      <c r="F36" s="13" t="str">
        <f aca="false">IF(A36="","",MONTH(A36))</f>
        <v/>
      </c>
    </row>
    <row r="37" customFormat="false" ht="15" hidden="false" customHeight="false" outlineLevel="0" collapsed="false">
      <c r="A37" s="12"/>
      <c r="B37" s="8"/>
      <c r="C37" s="8"/>
      <c r="D37" s="8"/>
      <c r="E37" s="9"/>
      <c r="F37" s="13" t="str">
        <f aca="false">IF(A37="","",MONTH(A37))</f>
        <v/>
      </c>
    </row>
    <row r="38" customFormat="false" ht="15" hidden="false" customHeight="false" outlineLevel="0" collapsed="false">
      <c r="A38" s="12"/>
      <c r="B38" s="8"/>
      <c r="C38" s="8"/>
      <c r="D38" s="8"/>
      <c r="E38" s="9"/>
      <c r="F38" s="13" t="str">
        <f aca="false">IF(A38="","",MONTH(A38))</f>
        <v/>
      </c>
    </row>
    <row r="39" customFormat="false" ht="15" hidden="false" customHeight="false" outlineLevel="0" collapsed="false">
      <c r="A39" s="12"/>
      <c r="B39" s="8"/>
      <c r="C39" s="8"/>
      <c r="D39" s="8"/>
      <c r="E39" s="9"/>
      <c r="F39" s="13" t="str">
        <f aca="false">IF(A39="","",MONTH(A39))</f>
        <v/>
      </c>
    </row>
    <row r="40" customFormat="false" ht="15" hidden="false" customHeight="false" outlineLevel="0" collapsed="false">
      <c r="A40" s="12"/>
      <c r="B40" s="8"/>
      <c r="C40" s="8"/>
      <c r="D40" s="8"/>
      <c r="E40" s="9"/>
      <c r="F40" s="13" t="str">
        <f aca="false">IF(A40="","",MONTH(A40))</f>
        <v/>
      </c>
    </row>
    <row r="41" customFormat="false" ht="15" hidden="false" customHeight="false" outlineLevel="0" collapsed="false">
      <c r="A41" s="12"/>
      <c r="B41" s="8"/>
      <c r="C41" s="8"/>
      <c r="D41" s="8"/>
      <c r="E41" s="9"/>
      <c r="F41" s="13" t="str">
        <f aca="false">IF(A41="","",MONTH(A41))</f>
        <v/>
      </c>
    </row>
    <row r="42" customFormat="false" ht="15" hidden="false" customHeight="false" outlineLevel="0" collapsed="false">
      <c r="A42" s="12"/>
      <c r="B42" s="8"/>
      <c r="C42" s="8"/>
      <c r="D42" s="8"/>
      <c r="E42" s="9"/>
      <c r="F42" s="13" t="str">
        <f aca="false">IF(A42="","",MONTH(A42))</f>
        <v/>
      </c>
    </row>
    <row r="43" customFormat="false" ht="15" hidden="false" customHeight="false" outlineLevel="0" collapsed="false">
      <c r="A43" s="12"/>
      <c r="B43" s="8"/>
      <c r="C43" s="8"/>
      <c r="D43" s="8"/>
      <c r="E43" s="9"/>
      <c r="F43" s="13" t="str">
        <f aca="false">IF(A43="","",MONTH(A43))</f>
        <v/>
      </c>
    </row>
    <row r="44" customFormat="false" ht="15" hidden="false" customHeight="false" outlineLevel="0" collapsed="false">
      <c r="A44" s="12"/>
      <c r="B44" s="8"/>
      <c r="C44" s="8"/>
      <c r="D44" s="8"/>
      <c r="E44" s="9"/>
      <c r="F44" s="13" t="str">
        <f aca="false">IF(A44="","",MONTH(A44))</f>
        <v/>
      </c>
    </row>
    <row r="45" customFormat="false" ht="15" hidden="false" customHeight="false" outlineLevel="0" collapsed="false">
      <c r="A45" s="12"/>
      <c r="B45" s="8"/>
      <c r="C45" s="8"/>
      <c r="D45" s="8"/>
      <c r="E45" s="9"/>
      <c r="F45" s="13" t="str">
        <f aca="false">IF(A45="","",MONTH(A45))</f>
        <v/>
      </c>
    </row>
    <row r="46" customFormat="false" ht="15" hidden="false" customHeight="false" outlineLevel="0" collapsed="false">
      <c r="A46" s="12"/>
      <c r="B46" s="8"/>
      <c r="C46" s="8"/>
      <c r="D46" s="8"/>
      <c r="E46" s="9"/>
      <c r="F46" s="13" t="str">
        <f aca="false">IF(A46="","",MONTH(A46))</f>
        <v/>
      </c>
    </row>
    <row r="47" customFormat="false" ht="15" hidden="false" customHeight="false" outlineLevel="0" collapsed="false">
      <c r="A47" s="12"/>
      <c r="B47" s="8"/>
      <c r="C47" s="8"/>
      <c r="D47" s="8"/>
      <c r="E47" s="9"/>
      <c r="F47" s="13" t="str">
        <f aca="false">IF(A47="","",MONTH(A47))</f>
        <v/>
      </c>
    </row>
    <row r="48" customFormat="false" ht="15" hidden="false" customHeight="false" outlineLevel="0" collapsed="false">
      <c r="A48" s="12"/>
      <c r="B48" s="8"/>
      <c r="C48" s="8"/>
      <c r="D48" s="8"/>
      <c r="E48" s="9"/>
      <c r="F48" s="13" t="str">
        <f aca="false">IF(A48="","",MONTH(A48))</f>
        <v/>
      </c>
    </row>
    <row r="49" customFormat="false" ht="15" hidden="false" customHeight="false" outlineLevel="0" collapsed="false">
      <c r="A49" s="12"/>
      <c r="B49" s="8"/>
      <c r="C49" s="8"/>
      <c r="D49" s="8"/>
      <c r="E49" s="9"/>
      <c r="F49" s="13" t="str">
        <f aca="false">IF(A49="","",MONTH(A49))</f>
        <v/>
      </c>
    </row>
    <row r="50" customFormat="false" ht="15" hidden="false" customHeight="false" outlineLevel="0" collapsed="false">
      <c r="A50" s="12"/>
      <c r="B50" s="8"/>
      <c r="C50" s="8"/>
      <c r="D50" s="8"/>
      <c r="E50" s="9"/>
      <c r="F50" s="13" t="str">
        <f aca="false">IF(A50="","",MONTH(A50))</f>
        <v/>
      </c>
    </row>
    <row r="51" customFormat="false" ht="15" hidden="false" customHeight="false" outlineLevel="0" collapsed="false">
      <c r="A51" s="12"/>
      <c r="B51" s="8"/>
      <c r="C51" s="8"/>
      <c r="D51" s="8"/>
      <c r="E51" s="9"/>
      <c r="F51" s="13" t="str">
        <f aca="false">IF(A51="","",MONTH(A51))</f>
        <v/>
      </c>
    </row>
    <row r="52" customFormat="false" ht="15" hidden="false" customHeight="false" outlineLevel="0" collapsed="false">
      <c r="A52" s="12"/>
      <c r="B52" s="8"/>
      <c r="C52" s="8"/>
      <c r="D52" s="8"/>
      <c r="E52" s="9"/>
      <c r="F52" s="13" t="str">
        <f aca="false">IF(A52="","",MONTH(A52))</f>
        <v/>
      </c>
    </row>
    <row r="53" customFormat="false" ht="15" hidden="false" customHeight="false" outlineLevel="0" collapsed="false">
      <c r="A53" s="12"/>
      <c r="B53" s="8"/>
      <c r="C53" s="8"/>
      <c r="D53" s="8"/>
      <c r="E53" s="9"/>
      <c r="F53" s="13" t="str">
        <f aca="false">IF(A53="","",MONTH(A53))</f>
        <v/>
      </c>
    </row>
    <row r="54" customFormat="false" ht="15" hidden="false" customHeight="false" outlineLevel="0" collapsed="false">
      <c r="A54" s="12"/>
      <c r="B54" s="8"/>
      <c r="C54" s="8"/>
      <c r="D54" s="8"/>
      <c r="E54" s="9"/>
      <c r="F54" s="13" t="str">
        <f aca="false">IF(A54="","",MONTH(A54))</f>
        <v/>
      </c>
    </row>
    <row r="55" customFormat="false" ht="15" hidden="false" customHeight="false" outlineLevel="0" collapsed="false">
      <c r="A55" s="12"/>
      <c r="B55" s="8"/>
      <c r="C55" s="8"/>
      <c r="D55" s="8"/>
      <c r="E55" s="9"/>
      <c r="F55" s="13" t="str">
        <f aca="false">IF(A55="","",MONTH(A55))</f>
        <v/>
      </c>
    </row>
    <row r="56" customFormat="false" ht="15" hidden="false" customHeight="false" outlineLevel="0" collapsed="false">
      <c r="A56" s="12"/>
      <c r="B56" s="8"/>
      <c r="C56" s="8"/>
      <c r="D56" s="8"/>
      <c r="E56" s="9"/>
      <c r="F56" s="13" t="str">
        <f aca="false">IF(A56="","",MONTH(A56))</f>
        <v/>
      </c>
    </row>
    <row r="57" customFormat="false" ht="15" hidden="false" customHeight="false" outlineLevel="0" collapsed="false">
      <c r="A57" s="12"/>
      <c r="B57" s="8"/>
      <c r="C57" s="8"/>
      <c r="D57" s="8"/>
      <c r="E57" s="9"/>
      <c r="F57" s="13" t="str">
        <f aca="false">IF(A57="","",MONTH(A57))</f>
        <v/>
      </c>
    </row>
    <row r="58" customFormat="false" ht="15" hidden="false" customHeight="false" outlineLevel="0" collapsed="false">
      <c r="A58" s="12"/>
      <c r="B58" s="8"/>
      <c r="C58" s="8"/>
      <c r="D58" s="8"/>
      <c r="E58" s="9"/>
      <c r="F58" s="13" t="str">
        <f aca="false">IF(A58="","",MONTH(A58))</f>
        <v/>
      </c>
    </row>
    <row r="59" customFormat="false" ht="15" hidden="false" customHeight="false" outlineLevel="0" collapsed="false">
      <c r="A59" s="12"/>
      <c r="B59" s="8"/>
      <c r="C59" s="8"/>
      <c r="D59" s="8"/>
      <c r="E59" s="9"/>
      <c r="F59" s="13" t="str">
        <f aca="false">IF(A59="","",MONTH(A59))</f>
        <v/>
      </c>
    </row>
    <row r="60" customFormat="false" ht="15" hidden="false" customHeight="false" outlineLevel="0" collapsed="false">
      <c r="A60" s="12"/>
      <c r="B60" s="8"/>
      <c r="C60" s="8"/>
      <c r="D60" s="8"/>
      <c r="E60" s="9"/>
      <c r="F60" s="13" t="str">
        <f aca="false">IF(A60="","",MONTH(A60))</f>
        <v/>
      </c>
    </row>
    <row r="61" customFormat="false" ht="15" hidden="false" customHeight="false" outlineLevel="0" collapsed="false">
      <c r="A61" s="12"/>
      <c r="B61" s="8"/>
      <c r="C61" s="8"/>
      <c r="D61" s="8"/>
      <c r="E61" s="9"/>
      <c r="F61" s="13" t="str">
        <f aca="false">IF(A61="","",MONTH(A61))</f>
        <v/>
      </c>
    </row>
    <row r="62" customFormat="false" ht="15" hidden="false" customHeight="false" outlineLevel="0" collapsed="false">
      <c r="A62" s="12"/>
      <c r="B62" s="8"/>
      <c r="C62" s="8"/>
      <c r="D62" s="8"/>
      <c r="E62" s="9"/>
      <c r="F62" s="13" t="str">
        <f aca="false">IF(A62="","",MONTH(A62))</f>
        <v/>
      </c>
    </row>
    <row r="63" customFormat="false" ht="15" hidden="false" customHeight="false" outlineLevel="0" collapsed="false">
      <c r="A63" s="12"/>
      <c r="B63" s="8"/>
      <c r="C63" s="8"/>
      <c r="D63" s="8"/>
      <c r="E63" s="9"/>
      <c r="F63" s="13" t="str">
        <f aca="false">IF(A63="","",MONTH(A63))</f>
        <v/>
      </c>
    </row>
    <row r="64" customFormat="false" ht="15" hidden="false" customHeight="false" outlineLevel="0" collapsed="false">
      <c r="A64" s="12"/>
      <c r="B64" s="8"/>
      <c r="C64" s="8"/>
      <c r="D64" s="8"/>
      <c r="E64" s="9"/>
      <c r="F64" s="13" t="str">
        <f aca="false">IF(A64="","",MONTH(A64))</f>
        <v/>
      </c>
    </row>
    <row r="65" customFormat="false" ht="15" hidden="false" customHeight="false" outlineLevel="0" collapsed="false">
      <c r="A65" s="12"/>
      <c r="B65" s="8"/>
      <c r="C65" s="8"/>
      <c r="D65" s="8"/>
      <c r="E65" s="9"/>
      <c r="F65" s="13" t="str">
        <f aca="false">IF(A65="","",MONTH(A65))</f>
        <v/>
      </c>
    </row>
    <row r="66" customFormat="false" ht="15" hidden="false" customHeight="false" outlineLevel="0" collapsed="false">
      <c r="A66" s="12"/>
      <c r="B66" s="8"/>
      <c r="C66" s="8"/>
      <c r="D66" s="8"/>
      <c r="E66" s="9"/>
      <c r="F66" s="13" t="str">
        <f aca="false">IF(A66="","",MONTH(A66))</f>
        <v/>
      </c>
    </row>
    <row r="67" customFormat="false" ht="15" hidden="false" customHeight="false" outlineLevel="0" collapsed="false">
      <c r="A67" s="12"/>
      <c r="B67" s="8"/>
      <c r="C67" s="8"/>
      <c r="D67" s="8"/>
      <c r="E67" s="9"/>
      <c r="F67" s="13" t="str">
        <f aca="false">IF(A67="","",MONTH(A67))</f>
        <v/>
      </c>
    </row>
    <row r="68" customFormat="false" ht="15" hidden="false" customHeight="false" outlineLevel="0" collapsed="false">
      <c r="A68" s="12"/>
      <c r="B68" s="8"/>
      <c r="C68" s="8"/>
      <c r="D68" s="8"/>
      <c r="E68" s="9"/>
      <c r="F68" s="13" t="str">
        <f aca="false">IF(A68="","",MONTH(A68))</f>
        <v/>
      </c>
    </row>
    <row r="69" customFormat="false" ht="15" hidden="false" customHeight="false" outlineLevel="0" collapsed="false">
      <c r="A69" s="12"/>
      <c r="B69" s="8"/>
      <c r="C69" s="8"/>
      <c r="D69" s="8"/>
      <c r="E69" s="9"/>
      <c r="F69" s="13" t="str">
        <f aca="false">IF(A69="","",MONTH(A69))</f>
        <v/>
      </c>
    </row>
    <row r="70" customFormat="false" ht="15" hidden="false" customHeight="false" outlineLevel="0" collapsed="false">
      <c r="A70" s="12"/>
      <c r="B70" s="8"/>
      <c r="C70" s="8"/>
      <c r="D70" s="8"/>
      <c r="E70" s="9"/>
      <c r="F70" s="13" t="str">
        <f aca="false">IF(A70="","",MONTH(A70))</f>
        <v/>
      </c>
    </row>
    <row r="71" customFormat="false" ht="15" hidden="false" customHeight="false" outlineLevel="0" collapsed="false">
      <c r="A71" s="12"/>
      <c r="B71" s="8"/>
      <c r="C71" s="8"/>
      <c r="D71" s="8"/>
      <c r="E71" s="9"/>
      <c r="F71" s="13" t="str">
        <f aca="false">IF(A71="","",MONTH(A71))</f>
        <v/>
      </c>
    </row>
    <row r="72" customFormat="false" ht="15" hidden="false" customHeight="false" outlineLevel="0" collapsed="false">
      <c r="A72" s="12"/>
      <c r="B72" s="8"/>
      <c r="C72" s="8"/>
      <c r="D72" s="8"/>
      <c r="E72" s="9"/>
      <c r="F72" s="13" t="str">
        <f aca="false">IF(A72="","",MONTH(A72))</f>
        <v/>
      </c>
    </row>
    <row r="73" customFormat="false" ht="15" hidden="false" customHeight="false" outlineLevel="0" collapsed="false">
      <c r="A73" s="12"/>
      <c r="B73" s="8"/>
      <c r="C73" s="8"/>
      <c r="D73" s="8"/>
      <c r="E73" s="9"/>
      <c r="F73" s="13" t="str">
        <f aca="false">IF(A73="","",MONTH(A73))</f>
        <v/>
      </c>
    </row>
    <row r="74" customFormat="false" ht="15" hidden="false" customHeight="false" outlineLevel="0" collapsed="false">
      <c r="A74" s="12"/>
      <c r="B74" s="8"/>
      <c r="C74" s="8"/>
      <c r="D74" s="8"/>
      <c r="E74" s="9"/>
      <c r="F74" s="13" t="str">
        <f aca="false">IF(A74="","",MONTH(A74))</f>
        <v/>
      </c>
    </row>
    <row r="75" customFormat="false" ht="15" hidden="false" customHeight="false" outlineLevel="0" collapsed="false">
      <c r="A75" s="12"/>
      <c r="B75" s="8"/>
      <c r="C75" s="8"/>
      <c r="D75" s="8"/>
      <c r="E75" s="9"/>
      <c r="F75" s="13" t="str">
        <f aca="false">IF(A75="","",MONTH(A75))</f>
        <v/>
      </c>
    </row>
    <row r="76" customFormat="false" ht="15" hidden="false" customHeight="false" outlineLevel="0" collapsed="false">
      <c r="A76" s="12"/>
      <c r="B76" s="8"/>
      <c r="C76" s="8"/>
      <c r="D76" s="8"/>
      <c r="E76" s="9"/>
      <c r="F76" s="13" t="str">
        <f aca="false">IF(A76="","",MONTH(A76))</f>
        <v/>
      </c>
    </row>
    <row r="77" customFormat="false" ht="15" hidden="false" customHeight="false" outlineLevel="0" collapsed="false">
      <c r="A77" s="12"/>
      <c r="B77" s="8"/>
      <c r="C77" s="8"/>
      <c r="D77" s="8"/>
      <c r="E77" s="9"/>
      <c r="F77" s="13" t="str">
        <f aca="false">IF(A77="","",MONTH(A77))</f>
        <v/>
      </c>
    </row>
    <row r="78" customFormat="false" ht="15" hidden="false" customHeight="false" outlineLevel="0" collapsed="false">
      <c r="A78" s="12"/>
      <c r="B78" s="8"/>
      <c r="C78" s="8"/>
      <c r="D78" s="8"/>
      <c r="E78" s="9"/>
      <c r="F78" s="13" t="str">
        <f aca="false">IF(A78="","",MONTH(A78))</f>
        <v/>
      </c>
    </row>
    <row r="79" customFormat="false" ht="15" hidden="false" customHeight="false" outlineLevel="0" collapsed="false">
      <c r="A79" s="12"/>
      <c r="B79" s="8"/>
      <c r="C79" s="8"/>
      <c r="D79" s="8"/>
      <c r="E79" s="9"/>
      <c r="F79" s="13" t="str">
        <f aca="false">IF(A79="","",MONTH(A79))</f>
        <v/>
      </c>
    </row>
    <row r="80" customFormat="false" ht="15" hidden="false" customHeight="false" outlineLevel="0" collapsed="false">
      <c r="A80" s="12"/>
      <c r="B80" s="8"/>
      <c r="C80" s="8"/>
      <c r="D80" s="8"/>
      <c r="E80" s="9"/>
      <c r="F80" s="13" t="str">
        <f aca="false">IF(A80="","",MONTH(A80))</f>
        <v/>
      </c>
    </row>
    <row r="81" customFormat="false" ht="15" hidden="false" customHeight="false" outlineLevel="0" collapsed="false">
      <c r="A81" s="12"/>
      <c r="B81" s="8"/>
      <c r="C81" s="8"/>
      <c r="D81" s="8"/>
      <c r="E81" s="9"/>
      <c r="F81" s="13" t="str">
        <f aca="false">IF(A81="","",MONTH(A81))</f>
        <v/>
      </c>
    </row>
    <row r="82" customFormat="false" ht="15" hidden="false" customHeight="false" outlineLevel="0" collapsed="false">
      <c r="A82" s="12"/>
      <c r="B82" s="8"/>
      <c r="C82" s="8"/>
      <c r="D82" s="8"/>
      <c r="E82" s="9"/>
      <c r="F82" s="13" t="str">
        <f aca="false">IF(A82="","",MONTH(A82))</f>
        <v/>
      </c>
    </row>
    <row r="83" customFormat="false" ht="15" hidden="false" customHeight="false" outlineLevel="0" collapsed="false">
      <c r="A83" s="12"/>
      <c r="B83" s="8"/>
      <c r="C83" s="8"/>
      <c r="D83" s="8"/>
      <c r="E83" s="9"/>
      <c r="F83" s="13" t="str">
        <f aca="false">IF(A83="","",MONTH(A83))</f>
        <v/>
      </c>
    </row>
    <row r="84" customFormat="false" ht="15" hidden="false" customHeight="false" outlineLevel="0" collapsed="false">
      <c r="A84" s="12"/>
      <c r="B84" s="8"/>
      <c r="C84" s="8"/>
      <c r="D84" s="8"/>
      <c r="E84" s="9"/>
      <c r="F84" s="13" t="str">
        <f aca="false">IF(A84="","",MONTH(A84))</f>
        <v/>
      </c>
    </row>
    <row r="85" customFormat="false" ht="15" hidden="false" customHeight="false" outlineLevel="0" collapsed="false">
      <c r="A85" s="12"/>
      <c r="B85" s="8"/>
      <c r="C85" s="8"/>
      <c r="D85" s="8"/>
      <c r="E85" s="9"/>
      <c r="F85" s="13" t="str">
        <f aca="false">IF(A85="","",MONTH(A85))</f>
        <v/>
      </c>
    </row>
    <row r="86" customFormat="false" ht="15" hidden="false" customHeight="false" outlineLevel="0" collapsed="false">
      <c r="A86" s="12"/>
      <c r="B86" s="8"/>
      <c r="C86" s="8"/>
      <c r="D86" s="8"/>
      <c r="E86" s="9"/>
      <c r="F86" s="13" t="str">
        <f aca="false">IF(A86="","",MONTH(A86))</f>
        <v/>
      </c>
    </row>
    <row r="87" customFormat="false" ht="15" hidden="false" customHeight="false" outlineLevel="0" collapsed="false">
      <c r="A87" s="12"/>
      <c r="B87" s="8"/>
      <c r="C87" s="8"/>
      <c r="D87" s="8"/>
      <c r="E87" s="9"/>
      <c r="F87" s="13" t="str">
        <f aca="false">IF(A87="","",MONTH(A87))</f>
        <v/>
      </c>
    </row>
    <row r="88" customFormat="false" ht="15" hidden="false" customHeight="false" outlineLevel="0" collapsed="false">
      <c r="A88" s="12"/>
      <c r="B88" s="8"/>
      <c r="C88" s="8"/>
      <c r="D88" s="8"/>
      <c r="E88" s="9"/>
      <c r="F88" s="13" t="str">
        <f aca="false">IF(A88="","",MONTH(A88))</f>
        <v/>
      </c>
    </row>
    <row r="89" customFormat="false" ht="15" hidden="false" customHeight="false" outlineLevel="0" collapsed="false">
      <c r="A89" s="12"/>
      <c r="B89" s="8"/>
      <c r="C89" s="8"/>
      <c r="D89" s="8"/>
      <c r="E89" s="9"/>
      <c r="F89" s="13" t="str">
        <f aca="false">IF(A89="","",MONTH(A89))</f>
        <v/>
      </c>
    </row>
    <row r="90" customFormat="false" ht="15" hidden="false" customHeight="false" outlineLevel="0" collapsed="false">
      <c r="A90" s="12"/>
      <c r="B90" s="8"/>
      <c r="C90" s="8"/>
      <c r="D90" s="8"/>
      <c r="E90" s="9"/>
      <c r="F90" s="13" t="str">
        <f aca="false">IF(A90="","",MONTH(A90))</f>
        <v/>
      </c>
    </row>
    <row r="91" customFormat="false" ht="15" hidden="false" customHeight="false" outlineLevel="0" collapsed="false">
      <c r="A91" s="12"/>
      <c r="B91" s="8"/>
      <c r="C91" s="8"/>
      <c r="D91" s="8"/>
      <c r="E91" s="9"/>
      <c r="F91" s="13" t="str">
        <f aca="false">IF(A91="","",MONTH(A91))</f>
        <v/>
      </c>
    </row>
    <row r="92" customFormat="false" ht="15" hidden="false" customHeight="false" outlineLevel="0" collapsed="false">
      <c r="A92" s="12"/>
      <c r="B92" s="8"/>
      <c r="C92" s="8"/>
      <c r="D92" s="8"/>
      <c r="E92" s="9"/>
      <c r="F92" s="13" t="str">
        <f aca="false">IF(A92="","",MONTH(A92))</f>
        <v/>
      </c>
    </row>
    <row r="93" customFormat="false" ht="15" hidden="false" customHeight="false" outlineLevel="0" collapsed="false">
      <c r="A93" s="12"/>
      <c r="B93" s="8"/>
      <c r="C93" s="8"/>
      <c r="D93" s="8"/>
      <c r="E93" s="9"/>
      <c r="F93" s="13" t="str">
        <f aca="false">IF(A93="","",MONTH(A93))</f>
        <v/>
      </c>
    </row>
    <row r="94" customFormat="false" ht="15" hidden="false" customHeight="false" outlineLevel="0" collapsed="false">
      <c r="A94" s="12"/>
      <c r="B94" s="8"/>
      <c r="C94" s="8"/>
      <c r="D94" s="8"/>
      <c r="E94" s="9"/>
      <c r="F94" s="13" t="str">
        <f aca="false">IF(A94="","",MONTH(A94))</f>
        <v/>
      </c>
    </row>
    <row r="95" customFormat="false" ht="15" hidden="false" customHeight="false" outlineLevel="0" collapsed="false">
      <c r="A95" s="12"/>
      <c r="B95" s="8"/>
      <c r="C95" s="8"/>
      <c r="D95" s="8"/>
      <c r="E95" s="9"/>
      <c r="F95" s="13" t="str">
        <f aca="false">IF(A95="","",MONTH(A95))</f>
        <v/>
      </c>
    </row>
    <row r="96" customFormat="false" ht="15" hidden="false" customHeight="false" outlineLevel="0" collapsed="false">
      <c r="A96" s="12"/>
      <c r="B96" s="8"/>
      <c r="C96" s="8"/>
      <c r="D96" s="8"/>
      <c r="E96" s="9"/>
      <c r="F96" s="13" t="str">
        <f aca="false">IF(A96="","",MONTH(A96))</f>
        <v/>
      </c>
    </row>
    <row r="97" customFormat="false" ht="15" hidden="false" customHeight="false" outlineLevel="0" collapsed="false">
      <c r="A97" s="12"/>
      <c r="B97" s="8"/>
      <c r="C97" s="8"/>
      <c r="D97" s="8"/>
      <c r="E97" s="9"/>
      <c r="F97" s="13" t="str">
        <f aca="false">IF(A97="","",MONTH(A97))</f>
        <v/>
      </c>
    </row>
    <row r="98" customFormat="false" ht="15" hidden="false" customHeight="false" outlineLevel="0" collapsed="false">
      <c r="A98" s="12"/>
      <c r="B98" s="8"/>
      <c r="C98" s="8"/>
      <c r="D98" s="8"/>
      <c r="E98" s="9"/>
      <c r="F98" s="13" t="str">
        <f aca="false">IF(A98="","",MONTH(A98))</f>
        <v/>
      </c>
    </row>
    <row r="99" customFormat="false" ht="15" hidden="false" customHeight="false" outlineLevel="0" collapsed="false">
      <c r="A99" s="12"/>
      <c r="B99" s="8"/>
      <c r="C99" s="8"/>
      <c r="D99" s="8"/>
      <c r="E99" s="9"/>
      <c r="F99" s="13" t="str">
        <f aca="false">IF(A99="","",MONTH(A99))</f>
        <v/>
      </c>
    </row>
    <row r="100" customFormat="false" ht="15" hidden="false" customHeight="false" outlineLevel="0" collapsed="false">
      <c r="A100" s="12"/>
      <c r="B100" s="8"/>
      <c r="C100" s="8"/>
      <c r="D100" s="8"/>
      <c r="E100" s="9"/>
      <c r="F100" s="13" t="str">
        <f aca="false">IF(A100="","",MONTH(A100))</f>
        <v/>
      </c>
    </row>
    <row r="101" customFormat="false" ht="15" hidden="false" customHeight="false" outlineLevel="0" collapsed="false">
      <c r="A101" s="12"/>
      <c r="B101" s="8"/>
      <c r="C101" s="8"/>
      <c r="D101" s="8"/>
      <c r="E101" s="9"/>
      <c r="F101" s="13" t="str">
        <f aca="false">IF(A101="","",MONTH(A101))</f>
        <v/>
      </c>
    </row>
    <row r="102" customFormat="false" ht="15" hidden="false" customHeight="false" outlineLevel="0" collapsed="false">
      <c r="A102" s="12"/>
      <c r="B102" s="8"/>
      <c r="C102" s="8"/>
      <c r="D102" s="8"/>
      <c r="E102" s="9"/>
      <c r="F102" s="13" t="str">
        <f aca="false">IF(A102="","",MONTH(A102))</f>
        <v/>
      </c>
    </row>
    <row r="103" customFormat="false" ht="15" hidden="false" customHeight="false" outlineLevel="0" collapsed="false">
      <c r="A103" s="12"/>
      <c r="B103" s="8"/>
      <c r="C103" s="8"/>
      <c r="D103" s="8"/>
      <c r="E103" s="9"/>
      <c r="F103" s="13" t="str">
        <f aca="false">IF(A103="","",MONTH(A103))</f>
        <v/>
      </c>
    </row>
    <row r="104" customFormat="false" ht="15" hidden="false" customHeight="false" outlineLevel="0" collapsed="false">
      <c r="A104" s="12"/>
      <c r="B104" s="8"/>
      <c r="C104" s="8"/>
      <c r="D104" s="8"/>
      <c r="E104" s="9"/>
      <c r="F104" s="13" t="str">
        <f aca="false">IF(A104="","",MONTH(A104))</f>
        <v/>
      </c>
    </row>
    <row r="105" customFormat="false" ht="15" hidden="false" customHeight="false" outlineLevel="0" collapsed="false">
      <c r="A105" s="12"/>
      <c r="B105" s="8"/>
      <c r="C105" s="8"/>
      <c r="D105" s="8"/>
      <c r="E105" s="9"/>
      <c r="F105" s="13" t="str">
        <f aca="false">IF(A105="","",MONTH(A105))</f>
        <v/>
      </c>
    </row>
    <row r="106" customFormat="false" ht="15" hidden="false" customHeight="false" outlineLevel="0" collapsed="false">
      <c r="A106" s="12"/>
      <c r="B106" s="8"/>
      <c r="C106" s="8"/>
      <c r="D106" s="8"/>
      <c r="E106" s="9"/>
      <c r="F106" s="13" t="str">
        <f aca="false">IF(A106="","",MONTH(A106))</f>
        <v/>
      </c>
    </row>
    <row r="107" customFormat="false" ht="15" hidden="false" customHeight="false" outlineLevel="0" collapsed="false">
      <c r="A107" s="12"/>
      <c r="B107" s="8"/>
      <c r="C107" s="8"/>
      <c r="D107" s="8"/>
      <c r="E107" s="9"/>
      <c r="F107" s="13" t="str">
        <f aca="false">IF(A107="","",MONTH(A107))</f>
        <v/>
      </c>
    </row>
    <row r="108" customFormat="false" ht="15" hidden="false" customHeight="false" outlineLevel="0" collapsed="false">
      <c r="A108" s="12"/>
      <c r="B108" s="8"/>
      <c r="C108" s="8"/>
      <c r="D108" s="8"/>
      <c r="E108" s="9"/>
      <c r="F108" s="13" t="str">
        <f aca="false">IF(A108="","",MONTH(A108))</f>
        <v/>
      </c>
    </row>
    <row r="109" customFormat="false" ht="15" hidden="false" customHeight="false" outlineLevel="0" collapsed="false">
      <c r="A109" s="12"/>
      <c r="B109" s="8"/>
      <c r="C109" s="8"/>
      <c r="D109" s="8"/>
      <c r="E109" s="9"/>
      <c r="F109" s="13" t="str">
        <f aca="false">IF(A109="","",MONTH(A109))</f>
        <v/>
      </c>
    </row>
    <row r="110" customFormat="false" ht="15" hidden="false" customHeight="false" outlineLevel="0" collapsed="false">
      <c r="A110" s="12"/>
      <c r="B110" s="8"/>
      <c r="C110" s="8"/>
      <c r="D110" s="8"/>
      <c r="E110" s="9"/>
      <c r="F110" s="13" t="str">
        <f aca="false">IF(A110="","",MONTH(A110))</f>
        <v/>
      </c>
    </row>
    <row r="111" customFormat="false" ht="15" hidden="false" customHeight="false" outlineLevel="0" collapsed="false">
      <c r="A111" s="12"/>
      <c r="B111" s="8"/>
      <c r="C111" s="8"/>
      <c r="D111" s="8"/>
      <c r="E111" s="9"/>
      <c r="F111" s="13" t="str">
        <f aca="false">IF(A111="","",MONTH(A111))</f>
        <v/>
      </c>
    </row>
    <row r="112" customFormat="false" ht="15" hidden="false" customHeight="false" outlineLevel="0" collapsed="false">
      <c r="A112" s="12"/>
      <c r="B112" s="8"/>
      <c r="C112" s="8"/>
      <c r="D112" s="8"/>
      <c r="E112" s="9"/>
      <c r="F112" s="13" t="str">
        <f aca="false">IF(A112="","",MONTH(A112))</f>
        <v/>
      </c>
    </row>
    <row r="113" customFormat="false" ht="15" hidden="false" customHeight="false" outlineLevel="0" collapsed="false">
      <c r="A113" s="12"/>
      <c r="B113" s="8"/>
      <c r="C113" s="8"/>
      <c r="D113" s="8"/>
      <c r="E113" s="9"/>
      <c r="F113" s="13" t="str">
        <f aca="false">IF(A113="","",MONTH(A113))</f>
        <v/>
      </c>
    </row>
    <row r="114" customFormat="false" ht="15" hidden="false" customHeight="false" outlineLevel="0" collapsed="false">
      <c r="A114" s="12"/>
      <c r="B114" s="8"/>
      <c r="C114" s="8"/>
      <c r="D114" s="8"/>
      <c r="E114" s="9"/>
      <c r="F114" s="13" t="str">
        <f aca="false">IF(A114="","",MONTH(A114))</f>
        <v/>
      </c>
    </row>
    <row r="115" customFormat="false" ht="15" hidden="false" customHeight="false" outlineLevel="0" collapsed="false">
      <c r="A115" s="12"/>
      <c r="B115" s="8"/>
      <c r="C115" s="8"/>
      <c r="D115" s="8"/>
      <c r="E115" s="9"/>
      <c r="F115" s="13" t="str">
        <f aca="false">IF(A115="","",MONTH(A115))</f>
        <v/>
      </c>
    </row>
    <row r="116" customFormat="false" ht="15" hidden="false" customHeight="false" outlineLevel="0" collapsed="false">
      <c r="A116" s="12"/>
      <c r="B116" s="8"/>
      <c r="C116" s="8"/>
      <c r="D116" s="8"/>
      <c r="E116" s="9"/>
      <c r="F116" s="13" t="str">
        <f aca="false">IF(A116="","",MONTH(A116))</f>
        <v/>
      </c>
    </row>
    <row r="117" customFormat="false" ht="15" hidden="false" customHeight="false" outlineLevel="0" collapsed="false">
      <c r="A117" s="12"/>
      <c r="B117" s="8"/>
      <c r="C117" s="8"/>
      <c r="D117" s="8"/>
      <c r="E117" s="9"/>
      <c r="F117" s="13" t="str">
        <f aca="false">IF(A117="","",MONTH(A117))</f>
        <v/>
      </c>
    </row>
    <row r="118" customFormat="false" ht="15" hidden="false" customHeight="false" outlineLevel="0" collapsed="false">
      <c r="A118" s="12"/>
      <c r="B118" s="8"/>
      <c r="C118" s="8"/>
      <c r="D118" s="8"/>
      <c r="E118" s="9"/>
      <c r="F118" s="13" t="str">
        <f aca="false">IF(A118="","",MONTH(A118))</f>
        <v/>
      </c>
    </row>
    <row r="119" customFormat="false" ht="15" hidden="false" customHeight="false" outlineLevel="0" collapsed="false">
      <c r="A119" s="12"/>
      <c r="B119" s="8"/>
      <c r="C119" s="8"/>
      <c r="D119" s="8"/>
      <c r="E119" s="9"/>
      <c r="F119" s="13" t="str">
        <f aca="false">IF(A119="","",MONTH(A119))</f>
        <v/>
      </c>
    </row>
    <row r="120" customFormat="false" ht="15" hidden="false" customHeight="false" outlineLevel="0" collapsed="false">
      <c r="A120" s="12"/>
      <c r="B120" s="8"/>
      <c r="C120" s="8"/>
      <c r="D120" s="8"/>
      <c r="E120" s="9"/>
      <c r="F120" s="13" t="str">
        <f aca="false">IF(A120="","",MONTH(A120))</f>
        <v/>
      </c>
    </row>
    <row r="121" customFormat="false" ht="15" hidden="false" customHeight="false" outlineLevel="0" collapsed="false">
      <c r="A121" s="12"/>
      <c r="B121" s="8"/>
      <c r="C121" s="8"/>
      <c r="D121" s="8"/>
      <c r="E121" s="9"/>
      <c r="F121" s="13" t="str">
        <f aca="false">IF(A121="","",MONTH(A121))</f>
        <v/>
      </c>
    </row>
    <row r="122" customFormat="false" ht="15" hidden="false" customHeight="false" outlineLevel="0" collapsed="false">
      <c r="A122" s="12"/>
      <c r="B122" s="8"/>
      <c r="C122" s="8"/>
      <c r="D122" s="8"/>
      <c r="E122" s="9"/>
      <c r="F122" s="13" t="str">
        <f aca="false">IF(A122="","",MONTH(A122))</f>
        <v/>
      </c>
    </row>
    <row r="123" customFormat="false" ht="15" hidden="false" customHeight="false" outlineLevel="0" collapsed="false">
      <c r="A123" s="12"/>
      <c r="B123" s="8"/>
      <c r="C123" s="8"/>
      <c r="D123" s="8"/>
      <c r="E123" s="9"/>
      <c r="F123" s="13" t="str">
        <f aca="false">IF(A123="","",MONTH(A123))</f>
        <v/>
      </c>
    </row>
    <row r="124" customFormat="false" ht="15" hidden="false" customHeight="false" outlineLevel="0" collapsed="false">
      <c r="A124" s="12"/>
      <c r="B124" s="8"/>
      <c r="C124" s="8"/>
      <c r="D124" s="8"/>
      <c r="E124" s="9"/>
      <c r="F124" s="13" t="str">
        <f aca="false">IF(A124="","",MONTH(A124))</f>
        <v/>
      </c>
    </row>
    <row r="125" customFormat="false" ht="15" hidden="false" customHeight="false" outlineLevel="0" collapsed="false">
      <c r="A125" s="12"/>
      <c r="B125" s="8"/>
      <c r="C125" s="8"/>
      <c r="D125" s="8"/>
      <c r="E125" s="9"/>
      <c r="F125" s="13" t="str">
        <f aca="false">IF(A125="","",MONTH(A125))</f>
        <v/>
      </c>
    </row>
    <row r="126" customFormat="false" ht="15" hidden="false" customHeight="false" outlineLevel="0" collapsed="false">
      <c r="A126" s="12"/>
      <c r="B126" s="8"/>
      <c r="C126" s="8"/>
      <c r="D126" s="8"/>
      <c r="E126" s="9"/>
      <c r="F126" s="13" t="str">
        <f aca="false">IF(A126="","",MONTH(A126))</f>
        <v/>
      </c>
    </row>
    <row r="127" customFormat="false" ht="15" hidden="false" customHeight="false" outlineLevel="0" collapsed="false">
      <c r="A127" s="12"/>
      <c r="B127" s="8"/>
      <c r="C127" s="8"/>
      <c r="D127" s="8"/>
      <c r="E127" s="9"/>
      <c r="F127" s="13" t="str">
        <f aca="false">IF(A127="","",MONTH(A127))</f>
        <v/>
      </c>
    </row>
    <row r="128" customFormat="false" ht="15" hidden="false" customHeight="false" outlineLevel="0" collapsed="false">
      <c r="A128" s="12"/>
      <c r="B128" s="8"/>
      <c r="C128" s="8"/>
      <c r="D128" s="8"/>
      <c r="E128" s="9"/>
      <c r="F128" s="13" t="str">
        <f aca="false">IF(A128="","",MONTH(A128))</f>
        <v/>
      </c>
    </row>
    <row r="129" customFormat="false" ht="15" hidden="false" customHeight="false" outlineLevel="0" collapsed="false">
      <c r="A129" s="12"/>
      <c r="B129" s="8"/>
      <c r="C129" s="8"/>
      <c r="D129" s="8"/>
      <c r="E129" s="9"/>
      <c r="F129" s="13" t="str">
        <f aca="false">IF(A129="","",MONTH(A129))</f>
        <v/>
      </c>
    </row>
    <row r="130" customFormat="false" ht="15" hidden="false" customHeight="false" outlineLevel="0" collapsed="false">
      <c r="A130" s="12"/>
      <c r="B130" s="8"/>
      <c r="C130" s="8"/>
      <c r="D130" s="8"/>
      <c r="E130" s="9"/>
      <c r="F130" s="13" t="str">
        <f aca="false">IF(A130="","",MONTH(A130))</f>
        <v/>
      </c>
    </row>
    <row r="131" customFormat="false" ht="15" hidden="false" customHeight="false" outlineLevel="0" collapsed="false">
      <c r="A131" s="12"/>
      <c r="B131" s="8"/>
      <c r="C131" s="8"/>
      <c r="D131" s="8"/>
      <c r="E131" s="9"/>
      <c r="F131" s="13" t="str">
        <f aca="false">IF(A131="","",MONTH(A131))</f>
        <v/>
      </c>
    </row>
    <row r="132" customFormat="false" ht="15" hidden="false" customHeight="false" outlineLevel="0" collapsed="false">
      <c r="A132" s="12"/>
      <c r="B132" s="8"/>
      <c r="C132" s="8"/>
      <c r="D132" s="8"/>
      <c r="E132" s="9"/>
      <c r="F132" s="13" t="str">
        <f aca="false">IF(A132="","",MONTH(A132))</f>
        <v/>
      </c>
    </row>
    <row r="133" customFormat="false" ht="15" hidden="false" customHeight="false" outlineLevel="0" collapsed="false">
      <c r="A133" s="12"/>
      <c r="B133" s="8"/>
      <c r="C133" s="8"/>
      <c r="D133" s="8"/>
      <c r="E133" s="9"/>
      <c r="F133" s="13" t="str">
        <f aca="false">IF(A133="","",MONTH(A133))</f>
        <v/>
      </c>
    </row>
    <row r="134" customFormat="false" ht="15" hidden="false" customHeight="false" outlineLevel="0" collapsed="false">
      <c r="A134" s="12"/>
      <c r="B134" s="8"/>
      <c r="C134" s="8"/>
      <c r="D134" s="8"/>
      <c r="E134" s="9"/>
      <c r="F134" s="13" t="str">
        <f aca="false">IF(A134="","",MONTH(A134))</f>
        <v/>
      </c>
    </row>
    <row r="135" customFormat="false" ht="15" hidden="false" customHeight="false" outlineLevel="0" collapsed="false">
      <c r="A135" s="12"/>
      <c r="B135" s="8"/>
      <c r="C135" s="8"/>
      <c r="D135" s="8"/>
      <c r="E135" s="9"/>
      <c r="F135" s="13" t="str">
        <f aca="false">IF(A135="","",MONTH(A135))</f>
        <v/>
      </c>
    </row>
    <row r="136" customFormat="false" ht="15" hidden="false" customHeight="false" outlineLevel="0" collapsed="false">
      <c r="A136" s="12"/>
      <c r="B136" s="8"/>
      <c r="C136" s="8"/>
      <c r="D136" s="8"/>
      <c r="E136" s="9"/>
      <c r="F136" s="13" t="str">
        <f aca="false">IF(A136="","",MONTH(A136))</f>
        <v/>
      </c>
    </row>
    <row r="137" customFormat="false" ht="15" hidden="false" customHeight="false" outlineLevel="0" collapsed="false">
      <c r="A137" s="12"/>
      <c r="B137" s="8"/>
      <c r="C137" s="8"/>
      <c r="D137" s="8"/>
      <c r="E137" s="9"/>
      <c r="F137" s="13" t="str">
        <f aca="false">IF(A137="","",MONTH(A137))</f>
        <v/>
      </c>
    </row>
    <row r="138" customFormat="false" ht="15" hidden="false" customHeight="false" outlineLevel="0" collapsed="false">
      <c r="A138" s="12"/>
      <c r="B138" s="8"/>
      <c r="C138" s="8"/>
      <c r="D138" s="8"/>
      <c r="E138" s="9"/>
      <c r="F138" s="13" t="str">
        <f aca="false">IF(A138="","",MONTH(A138))</f>
        <v/>
      </c>
    </row>
    <row r="139" customFormat="false" ht="15" hidden="false" customHeight="false" outlineLevel="0" collapsed="false">
      <c r="A139" s="12"/>
      <c r="B139" s="8"/>
      <c r="C139" s="8"/>
      <c r="D139" s="8"/>
      <c r="E139" s="9"/>
      <c r="F139" s="13" t="str">
        <f aca="false">IF(A139="","",MONTH(A139))</f>
        <v/>
      </c>
    </row>
    <row r="140" customFormat="false" ht="15" hidden="false" customHeight="false" outlineLevel="0" collapsed="false">
      <c r="A140" s="12"/>
      <c r="B140" s="8"/>
      <c r="C140" s="8"/>
      <c r="D140" s="8"/>
      <c r="E140" s="9"/>
      <c r="F140" s="13" t="str">
        <f aca="false">IF(A140="","",MONTH(A140))</f>
        <v/>
      </c>
    </row>
    <row r="141" customFormat="false" ht="15" hidden="false" customHeight="false" outlineLevel="0" collapsed="false">
      <c r="A141" s="12"/>
      <c r="B141" s="8"/>
      <c r="C141" s="8"/>
      <c r="D141" s="8"/>
      <c r="E141" s="9"/>
      <c r="F141" s="13" t="str">
        <f aca="false">IF(A141="","",MONTH(A141))</f>
        <v/>
      </c>
    </row>
    <row r="142" customFormat="false" ht="15" hidden="false" customHeight="false" outlineLevel="0" collapsed="false">
      <c r="A142" s="12"/>
      <c r="B142" s="8"/>
      <c r="C142" s="8"/>
      <c r="D142" s="8"/>
      <c r="E142" s="9"/>
      <c r="F142" s="13" t="str">
        <f aca="false">IF(A142="","",MONTH(A142))</f>
        <v/>
      </c>
    </row>
    <row r="143" customFormat="false" ht="15" hidden="false" customHeight="false" outlineLevel="0" collapsed="false">
      <c r="A143" s="12"/>
      <c r="B143" s="8"/>
      <c r="C143" s="8"/>
      <c r="D143" s="8"/>
      <c r="E143" s="9"/>
      <c r="F143" s="13" t="str">
        <f aca="false">IF(A143="","",MONTH(A143))</f>
        <v/>
      </c>
    </row>
    <row r="144" customFormat="false" ht="15" hidden="false" customHeight="false" outlineLevel="0" collapsed="false">
      <c r="A144" s="12"/>
      <c r="B144" s="8"/>
      <c r="C144" s="8"/>
      <c r="D144" s="8"/>
      <c r="E144" s="9"/>
      <c r="F144" s="13" t="str">
        <f aca="false">IF(A144="","",MONTH(A144))</f>
        <v/>
      </c>
    </row>
    <row r="145" customFormat="false" ht="15" hidden="false" customHeight="false" outlineLevel="0" collapsed="false">
      <c r="A145" s="12"/>
      <c r="B145" s="8"/>
      <c r="C145" s="8"/>
      <c r="D145" s="8"/>
      <c r="E145" s="9"/>
      <c r="F145" s="13" t="str">
        <f aca="false">IF(A145="","",MONTH(A145))</f>
        <v/>
      </c>
    </row>
    <row r="146" customFormat="false" ht="15" hidden="false" customHeight="false" outlineLevel="0" collapsed="false">
      <c r="A146" s="12"/>
      <c r="B146" s="8"/>
      <c r="C146" s="8"/>
      <c r="D146" s="8"/>
      <c r="E146" s="9"/>
      <c r="F146" s="13" t="str">
        <f aca="false">IF(A146="","",MONTH(A146))</f>
        <v/>
      </c>
    </row>
    <row r="147" customFormat="false" ht="15" hidden="false" customHeight="false" outlineLevel="0" collapsed="false">
      <c r="A147" s="12"/>
      <c r="B147" s="8"/>
      <c r="C147" s="8"/>
      <c r="D147" s="8"/>
      <c r="E147" s="9"/>
      <c r="F147" s="13" t="str">
        <f aca="false">IF(A147="","",MONTH(A147))</f>
        <v/>
      </c>
    </row>
    <row r="148" customFormat="false" ht="15" hidden="false" customHeight="false" outlineLevel="0" collapsed="false">
      <c r="A148" s="12"/>
      <c r="B148" s="8"/>
      <c r="C148" s="8"/>
      <c r="D148" s="8"/>
      <c r="E148" s="9"/>
      <c r="F148" s="13" t="str">
        <f aca="false">IF(A148="","",MONTH(A148))</f>
        <v/>
      </c>
    </row>
    <row r="149" customFormat="false" ht="15" hidden="false" customHeight="false" outlineLevel="0" collapsed="false">
      <c r="A149" s="12"/>
      <c r="B149" s="8"/>
      <c r="C149" s="8"/>
      <c r="D149" s="8"/>
      <c r="E149" s="9"/>
      <c r="F149" s="13" t="str">
        <f aca="false">IF(A149="","",MONTH(A149))</f>
        <v/>
      </c>
    </row>
    <row r="150" customFormat="false" ht="15" hidden="false" customHeight="false" outlineLevel="0" collapsed="false">
      <c r="A150" s="12"/>
      <c r="B150" s="8"/>
      <c r="C150" s="8"/>
      <c r="D150" s="8"/>
      <c r="E150" s="9"/>
      <c r="F150" s="13" t="str">
        <f aca="false">IF(A150="","",MONTH(A150))</f>
        <v/>
      </c>
    </row>
    <row r="151" customFormat="false" ht="15" hidden="false" customHeight="false" outlineLevel="0" collapsed="false">
      <c r="A151" s="12"/>
      <c r="B151" s="8"/>
      <c r="C151" s="8"/>
      <c r="D151" s="8"/>
      <c r="E151" s="9"/>
      <c r="F151" s="13" t="str">
        <f aca="false">IF(A151="","",MONTH(A151))</f>
        <v/>
      </c>
    </row>
    <row r="152" customFormat="false" ht="15" hidden="false" customHeight="false" outlineLevel="0" collapsed="false">
      <c r="A152" s="12"/>
      <c r="B152" s="8"/>
      <c r="C152" s="8"/>
      <c r="D152" s="8"/>
      <c r="E152" s="9"/>
      <c r="F152" s="13" t="str">
        <f aca="false">IF(A152="","",MONTH(A152))</f>
        <v/>
      </c>
    </row>
    <row r="153" customFormat="false" ht="15" hidden="false" customHeight="false" outlineLevel="0" collapsed="false">
      <c r="A153" s="12"/>
      <c r="B153" s="8"/>
      <c r="C153" s="8"/>
      <c r="D153" s="8"/>
      <c r="E153" s="9"/>
      <c r="F153" s="13" t="str">
        <f aca="false">IF(A153="","",MONTH(A153))</f>
        <v/>
      </c>
    </row>
    <row r="154" customFormat="false" ht="15" hidden="false" customHeight="false" outlineLevel="0" collapsed="false">
      <c r="A154" s="12"/>
      <c r="B154" s="8"/>
      <c r="C154" s="8"/>
      <c r="D154" s="8"/>
      <c r="E154" s="9"/>
      <c r="F154" s="13" t="str">
        <f aca="false">IF(A154="","",MONTH(A154))</f>
        <v/>
      </c>
    </row>
    <row r="155" customFormat="false" ht="15" hidden="false" customHeight="false" outlineLevel="0" collapsed="false">
      <c r="A155" s="12"/>
      <c r="B155" s="8"/>
      <c r="C155" s="8"/>
      <c r="D155" s="8"/>
      <c r="E155" s="9"/>
      <c r="F155" s="13" t="str">
        <f aca="false">IF(A155="","",MONTH(A155))</f>
        <v/>
      </c>
    </row>
    <row r="156" customFormat="false" ht="15" hidden="false" customHeight="false" outlineLevel="0" collapsed="false">
      <c r="A156" s="12"/>
      <c r="B156" s="8"/>
      <c r="C156" s="8"/>
      <c r="D156" s="8"/>
      <c r="E156" s="9"/>
      <c r="F156" s="13" t="str">
        <f aca="false">IF(A156="","",MONTH(A156))</f>
        <v/>
      </c>
    </row>
    <row r="157" customFormat="false" ht="15" hidden="false" customHeight="false" outlineLevel="0" collapsed="false">
      <c r="A157" s="12"/>
      <c r="B157" s="8"/>
      <c r="C157" s="8"/>
      <c r="D157" s="8"/>
      <c r="E157" s="9"/>
      <c r="F157" s="13" t="str">
        <f aca="false">IF(A157="","",MONTH(A157))</f>
        <v/>
      </c>
    </row>
    <row r="158" customFormat="false" ht="15" hidden="false" customHeight="false" outlineLevel="0" collapsed="false">
      <c r="A158" s="12"/>
      <c r="B158" s="8"/>
      <c r="C158" s="8"/>
      <c r="D158" s="8"/>
      <c r="E158" s="9"/>
      <c r="F158" s="13" t="str">
        <f aca="false">IF(A158="","",MONTH(A158))</f>
        <v/>
      </c>
    </row>
    <row r="159" customFormat="false" ht="15" hidden="false" customHeight="false" outlineLevel="0" collapsed="false">
      <c r="A159" s="12"/>
      <c r="B159" s="8"/>
      <c r="C159" s="8"/>
      <c r="D159" s="8"/>
      <c r="E159" s="9"/>
      <c r="F159" s="13" t="str">
        <f aca="false">IF(A159="","",MONTH(A159))</f>
        <v/>
      </c>
    </row>
    <row r="160" customFormat="false" ht="15" hidden="false" customHeight="false" outlineLevel="0" collapsed="false">
      <c r="A160" s="12"/>
      <c r="B160" s="8"/>
      <c r="C160" s="8"/>
      <c r="D160" s="8"/>
      <c r="E160" s="9"/>
      <c r="F160" s="13" t="str">
        <f aca="false">IF(A160="","",MONTH(A160))</f>
        <v/>
      </c>
    </row>
    <row r="161" customFormat="false" ht="15" hidden="false" customHeight="false" outlineLevel="0" collapsed="false">
      <c r="A161" s="12"/>
      <c r="B161" s="8"/>
      <c r="C161" s="8"/>
      <c r="D161" s="8"/>
      <c r="E161" s="9"/>
      <c r="F161" s="13" t="str">
        <f aca="false">IF(A161="","",MONTH(A161))</f>
        <v/>
      </c>
    </row>
    <row r="162" customFormat="false" ht="15" hidden="false" customHeight="false" outlineLevel="0" collapsed="false">
      <c r="A162" s="12"/>
      <c r="B162" s="8"/>
      <c r="C162" s="8"/>
      <c r="D162" s="8"/>
      <c r="E162" s="9"/>
      <c r="F162" s="13" t="str">
        <f aca="false">IF(A162="","",MONTH(A162))</f>
        <v/>
      </c>
    </row>
    <row r="163" customFormat="false" ht="15" hidden="false" customHeight="false" outlineLevel="0" collapsed="false">
      <c r="A163" s="12"/>
      <c r="B163" s="8"/>
      <c r="C163" s="8"/>
      <c r="D163" s="8"/>
      <c r="E163" s="9"/>
      <c r="F163" s="13" t="str">
        <f aca="false">IF(A163="","",MONTH(A163))</f>
        <v/>
      </c>
    </row>
    <row r="164" customFormat="false" ht="15" hidden="false" customHeight="false" outlineLevel="0" collapsed="false">
      <c r="A164" s="12"/>
      <c r="B164" s="8"/>
      <c r="C164" s="8"/>
      <c r="D164" s="8"/>
      <c r="E164" s="9"/>
      <c r="F164" s="13" t="str">
        <f aca="false">IF(A164="","",MONTH(A164))</f>
        <v/>
      </c>
    </row>
    <row r="165" customFormat="false" ht="15" hidden="false" customHeight="false" outlineLevel="0" collapsed="false">
      <c r="A165" s="12"/>
      <c r="B165" s="8"/>
      <c r="C165" s="8"/>
      <c r="D165" s="8"/>
      <c r="E165" s="9"/>
      <c r="F165" s="13" t="str">
        <f aca="false">IF(A165="","",MONTH(A165))</f>
        <v/>
      </c>
    </row>
    <row r="166" customFormat="false" ht="15" hidden="false" customHeight="false" outlineLevel="0" collapsed="false">
      <c r="A166" s="12"/>
      <c r="B166" s="8"/>
      <c r="C166" s="8"/>
      <c r="D166" s="8"/>
      <c r="E166" s="9"/>
      <c r="F166" s="13" t="str">
        <f aca="false">IF(A166="","",MONTH(A166))</f>
        <v/>
      </c>
    </row>
    <row r="167" customFormat="false" ht="15" hidden="false" customHeight="false" outlineLevel="0" collapsed="false">
      <c r="A167" s="12"/>
      <c r="B167" s="8"/>
      <c r="C167" s="8"/>
      <c r="D167" s="8"/>
      <c r="E167" s="9"/>
      <c r="F167" s="13" t="str">
        <f aca="false">IF(A167="","",MONTH(A167))</f>
        <v/>
      </c>
    </row>
    <row r="168" customFormat="false" ht="15" hidden="false" customHeight="false" outlineLevel="0" collapsed="false">
      <c r="A168" s="12"/>
      <c r="B168" s="8"/>
      <c r="C168" s="8"/>
      <c r="D168" s="8"/>
      <c r="E168" s="9"/>
      <c r="F168" s="13" t="str">
        <f aca="false">IF(A168="","",MONTH(A168))</f>
        <v/>
      </c>
    </row>
    <row r="169" customFormat="false" ht="15" hidden="false" customHeight="false" outlineLevel="0" collapsed="false">
      <c r="A169" s="12"/>
      <c r="B169" s="8"/>
      <c r="C169" s="8"/>
      <c r="D169" s="8"/>
      <c r="E169" s="9"/>
      <c r="F169" s="13" t="str">
        <f aca="false">IF(A169="","",MONTH(A169))</f>
        <v/>
      </c>
    </row>
    <row r="170" customFormat="false" ht="15" hidden="false" customHeight="false" outlineLevel="0" collapsed="false">
      <c r="A170" s="12"/>
      <c r="B170" s="8"/>
      <c r="C170" s="8"/>
      <c r="D170" s="8"/>
      <c r="E170" s="9"/>
      <c r="F170" s="13" t="str">
        <f aca="false">IF(A170="","",MONTH(A170))</f>
        <v/>
      </c>
    </row>
    <row r="171" customFormat="false" ht="15" hidden="false" customHeight="false" outlineLevel="0" collapsed="false">
      <c r="A171" s="12"/>
      <c r="B171" s="8"/>
      <c r="C171" s="8"/>
      <c r="D171" s="8"/>
      <c r="E171" s="9"/>
      <c r="F171" s="13" t="str">
        <f aca="false">IF(A171="","",MONTH(A171))</f>
        <v/>
      </c>
    </row>
    <row r="172" customFormat="false" ht="15" hidden="false" customHeight="false" outlineLevel="0" collapsed="false">
      <c r="A172" s="12"/>
      <c r="B172" s="8"/>
      <c r="C172" s="8"/>
      <c r="D172" s="8"/>
      <c r="E172" s="9"/>
      <c r="F172" s="13" t="str">
        <f aca="false">IF(A172="","",MONTH(A172))</f>
        <v/>
      </c>
    </row>
    <row r="173" customFormat="false" ht="15" hidden="false" customHeight="false" outlineLevel="0" collapsed="false">
      <c r="A173" s="12"/>
      <c r="B173" s="8"/>
      <c r="C173" s="8"/>
      <c r="D173" s="8"/>
      <c r="E173" s="9"/>
      <c r="F173" s="13" t="str">
        <f aca="false">IF(A173="","",MONTH(A173))</f>
        <v/>
      </c>
    </row>
    <row r="174" customFormat="false" ht="15" hidden="false" customHeight="false" outlineLevel="0" collapsed="false">
      <c r="A174" s="12"/>
      <c r="B174" s="8"/>
      <c r="C174" s="8"/>
      <c r="D174" s="8"/>
      <c r="E174" s="9"/>
      <c r="F174" s="13" t="str">
        <f aca="false">IF(A174="","",MONTH(A174))</f>
        <v/>
      </c>
    </row>
    <row r="175" customFormat="false" ht="15" hidden="false" customHeight="false" outlineLevel="0" collapsed="false">
      <c r="A175" s="12"/>
      <c r="B175" s="8"/>
      <c r="C175" s="8"/>
      <c r="D175" s="8"/>
      <c r="E175" s="9"/>
      <c r="F175" s="13" t="str">
        <f aca="false">IF(A175="","",MONTH(A175))</f>
        <v/>
      </c>
    </row>
    <row r="176" customFormat="false" ht="15" hidden="false" customHeight="false" outlineLevel="0" collapsed="false">
      <c r="A176" s="12"/>
      <c r="B176" s="8"/>
      <c r="C176" s="8"/>
      <c r="D176" s="8"/>
      <c r="E176" s="9"/>
      <c r="F176" s="13" t="str">
        <f aca="false">IF(A176="","",MONTH(A176))</f>
        <v/>
      </c>
    </row>
    <row r="177" customFormat="false" ht="15" hidden="false" customHeight="false" outlineLevel="0" collapsed="false">
      <c r="A177" s="12"/>
      <c r="B177" s="8"/>
      <c r="C177" s="8"/>
      <c r="D177" s="8"/>
      <c r="E177" s="9"/>
      <c r="F177" s="13" t="str">
        <f aca="false">IF(A177="","",MONTH(A177))</f>
        <v/>
      </c>
    </row>
    <row r="178" customFormat="false" ht="15" hidden="false" customHeight="false" outlineLevel="0" collapsed="false">
      <c r="A178" s="12"/>
      <c r="B178" s="8"/>
      <c r="C178" s="8"/>
      <c r="D178" s="8"/>
      <c r="E178" s="9"/>
      <c r="F178" s="13" t="str">
        <f aca="false">IF(A178="","",MONTH(A178))</f>
        <v/>
      </c>
    </row>
    <row r="179" customFormat="false" ht="15" hidden="false" customHeight="false" outlineLevel="0" collapsed="false">
      <c r="A179" s="12"/>
      <c r="B179" s="8"/>
      <c r="C179" s="8"/>
      <c r="D179" s="8"/>
      <c r="E179" s="9"/>
      <c r="F179" s="13" t="str">
        <f aca="false">IF(A179="","",MONTH(A179))</f>
        <v/>
      </c>
    </row>
    <row r="180" customFormat="false" ht="15" hidden="false" customHeight="false" outlineLevel="0" collapsed="false">
      <c r="A180" s="12"/>
      <c r="B180" s="8"/>
      <c r="C180" s="8"/>
      <c r="D180" s="8"/>
      <c r="E180" s="9"/>
      <c r="F180" s="13" t="str">
        <f aca="false">IF(A180="","",MONTH(A180))</f>
        <v/>
      </c>
    </row>
    <row r="181" customFormat="false" ht="15" hidden="false" customHeight="false" outlineLevel="0" collapsed="false">
      <c r="A181" s="12"/>
      <c r="B181" s="8"/>
      <c r="C181" s="8"/>
      <c r="D181" s="8"/>
      <c r="E181" s="9"/>
      <c r="F181" s="13" t="str">
        <f aca="false">IF(A181="","",MONTH(A181))</f>
        <v/>
      </c>
    </row>
    <row r="182" customFormat="false" ht="15" hidden="false" customHeight="false" outlineLevel="0" collapsed="false">
      <c r="A182" s="12"/>
      <c r="B182" s="8"/>
      <c r="C182" s="8"/>
      <c r="D182" s="8"/>
      <c r="E182" s="9"/>
      <c r="F182" s="13" t="str">
        <f aca="false">IF(A182="","",MONTH(A182))</f>
        <v/>
      </c>
    </row>
    <row r="183" customFormat="false" ht="15" hidden="false" customHeight="false" outlineLevel="0" collapsed="false">
      <c r="A183" s="12"/>
      <c r="B183" s="8"/>
      <c r="C183" s="8"/>
      <c r="D183" s="8"/>
      <c r="E183" s="9"/>
      <c r="F183" s="13" t="str">
        <f aca="false">IF(A183="","",MONTH(A183))</f>
        <v/>
      </c>
    </row>
    <row r="184" customFormat="false" ht="15" hidden="false" customHeight="false" outlineLevel="0" collapsed="false">
      <c r="A184" s="12"/>
      <c r="B184" s="8"/>
      <c r="C184" s="8"/>
      <c r="D184" s="8"/>
      <c r="E184" s="9"/>
      <c r="F184" s="13" t="str">
        <f aca="false">IF(A184="","",MONTH(A184))</f>
        <v/>
      </c>
    </row>
    <row r="185" customFormat="false" ht="15" hidden="false" customHeight="false" outlineLevel="0" collapsed="false">
      <c r="A185" s="12"/>
      <c r="B185" s="8"/>
      <c r="C185" s="8"/>
      <c r="D185" s="8"/>
      <c r="E185" s="9"/>
      <c r="F185" s="13" t="str">
        <f aca="false">IF(A185="","",MONTH(A185))</f>
        <v/>
      </c>
    </row>
    <row r="186" customFormat="false" ht="15" hidden="false" customHeight="false" outlineLevel="0" collapsed="false">
      <c r="A186" s="12"/>
      <c r="B186" s="8"/>
      <c r="C186" s="8"/>
      <c r="D186" s="8"/>
      <c r="E186" s="9"/>
      <c r="F186" s="13" t="str">
        <f aca="false">IF(A186="","",MONTH(A186))</f>
        <v/>
      </c>
    </row>
    <row r="187" customFormat="false" ht="15" hidden="false" customHeight="false" outlineLevel="0" collapsed="false">
      <c r="A187" s="12"/>
      <c r="B187" s="8"/>
      <c r="C187" s="8"/>
      <c r="D187" s="8"/>
      <c r="E187" s="9"/>
      <c r="F187" s="13" t="str">
        <f aca="false">IF(A187="","",MONTH(A187))</f>
        <v/>
      </c>
    </row>
    <row r="188" customFormat="false" ht="15" hidden="false" customHeight="false" outlineLevel="0" collapsed="false">
      <c r="A188" s="12"/>
      <c r="B188" s="8"/>
      <c r="C188" s="8"/>
      <c r="D188" s="8"/>
      <c r="E188" s="9"/>
      <c r="F188" s="13" t="str">
        <f aca="false">IF(A188="","",MONTH(A188))</f>
        <v/>
      </c>
    </row>
    <row r="189" customFormat="false" ht="15" hidden="false" customHeight="false" outlineLevel="0" collapsed="false">
      <c r="A189" s="12"/>
      <c r="B189" s="8"/>
      <c r="C189" s="8"/>
      <c r="D189" s="8"/>
      <c r="E189" s="9"/>
      <c r="F189" s="13" t="str">
        <f aca="false">IF(A189="","",MONTH(A189))</f>
        <v/>
      </c>
    </row>
    <row r="190" customFormat="false" ht="15" hidden="false" customHeight="false" outlineLevel="0" collapsed="false">
      <c r="A190" s="12"/>
      <c r="B190" s="8"/>
      <c r="C190" s="8"/>
      <c r="D190" s="8"/>
      <c r="E190" s="9"/>
      <c r="F190" s="13" t="str">
        <f aca="false">IF(A190="","",MONTH(A190))</f>
        <v/>
      </c>
    </row>
    <row r="191" customFormat="false" ht="15" hidden="false" customHeight="false" outlineLevel="0" collapsed="false">
      <c r="A191" s="12"/>
      <c r="B191" s="8"/>
      <c r="C191" s="8"/>
      <c r="D191" s="8"/>
      <c r="E191" s="9"/>
      <c r="F191" s="13" t="str">
        <f aca="false">IF(A191="","",MONTH(A191))</f>
        <v/>
      </c>
    </row>
    <row r="192" customFormat="false" ht="15" hidden="false" customHeight="false" outlineLevel="0" collapsed="false">
      <c r="A192" s="12"/>
      <c r="B192" s="8"/>
      <c r="C192" s="8"/>
      <c r="D192" s="8"/>
      <c r="E192" s="9"/>
      <c r="F192" s="13" t="str">
        <f aca="false">IF(A192="","",MONTH(A192))</f>
        <v/>
      </c>
    </row>
    <row r="193" customFormat="false" ht="15" hidden="false" customHeight="false" outlineLevel="0" collapsed="false">
      <c r="A193" s="12"/>
      <c r="B193" s="8"/>
      <c r="C193" s="8"/>
      <c r="D193" s="8"/>
      <c r="E193" s="9"/>
      <c r="F193" s="13" t="str">
        <f aca="false">IF(A193="","",MONTH(A193))</f>
        <v/>
      </c>
    </row>
    <row r="194" customFormat="false" ht="15" hidden="false" customHeight="false" outlineLevel="0" collapsed="false">
      <c r="A194" s="12"/>
      <c r="B194" s="8"/>
      <c r="C194" s="8"/>
      <c r="D194" s="8"/>
      <c r="E194" s="9"/>
      <c r="F194" s="13" t="str">
        <f aca="false">IF(A194="","",MONTH(A194))</f>
        <v/>
      </c>
    </row>
    <row r="195" customFormat="false" ht="15" hidden="false" customHeight="false" outlineLevel="0" collapsed="false">
      <c r="A195" s="12"/>
      <c r="B195" s="8"/>
      <c r="C195" s="8"/>
      <c r="D195" s="8"/>
      <c r="E195" s="9"/>
      <c r="F195" s="13" t="str">
        <f aca="false">IF(A195="","",MONTH(A195))</f>
        <v/>
      </c>
    </row>
    <row r="196" customFormat="false" ht="15" hidden="false" customHeight="false" outlineLevel="0" collapsed="false">
      <c r="A196" s="12"/>
      <c r="B196" s="8"/>
      <c r="C196" s="8"/>
      <c r="D196" s="8"/>
      <c r="E196" s="9"/>
      <c r="F196" s="13" t="str">
        <f aca="false">IF(A196="","",MONTH(A196))</f>
        <v/>
      </c>
    </row>
    <row r="197" customFormat="false" ht="15" hidden="false" customHeight="false" outlineLevel="0" collapsed="false">
      <c r="A197" s="12"/>
      <c r="B197" s="8"/>
      <c r="C197" s="8"/>
      <c r="D197" s="8"/>
      <c r="E197" s="9"/>
      <c r="F197" s="13" t="str">
        <f aca="false">IF(A197="","",MONTH(A197))</f>
        <v/>
      </c>
    </row>
    <row r="198" customFormat="false" ht="15" hidden="false" customHeight="false" outlineLevel="0" collapsed="false">
      <c r="A198" s="12"/>
      <c r="B198" s="8"/>
      <c r="C198" s="8"/>
      <c r="D198" s="8"/>
      <c r="E198" s="9"/>
      <c r="F198" s="13" t="str">
        <f aca="false">IF(A198="","",MONTH(A198))</f>
        <v/>
      </c>
    </row>
    <row r="199" customFormat="false" ht="15" hidden="false" customHeight="false" outlineLevel="0" collapsed="false">
      <c r="A199" s="12"/>
      <c r="B199" s="8"/>
      <c r="C199" s="8"/>
      <c r="D199" s="8"/>
      <c r="E199" s="9"/>
      <c r="F199" s="13" t="str">
        <f aca="false">IF(A199="","",MONTH(A199))</f>
        <v/>
      </c>
    </row>
    <row r="200" customFormat="false" ht="15" hidden="false" customHeight="false" outlineLevel="0" collapsed="false">
      <c r="A200" s="12"/>
      <c r="B200" s="8"/>
      <c r="C200" s="8"/>
      <c r="D200" s="8"/>
      <c r="E200" s="9"/>
      <c r="F200" s="13" t="str">
        <f aca="false">IF(A200="","",MONTH(A200))</f>
        <v/>
      </c>
    </row>
    <row r="201" customFormat="false" ht="15" hidden="false" customHeight="false" outlineLevel="0" collapsed="false">
      <c r="A201" s="12"/>
      <c r="B201" s="8"/>
      <c r="C201" s="8"/>
      <c r="D201" s="8"/>
      <c r="E201" s="9"/>
      <c r="F201" s="13" t="str">
        <f aca="false">IF(A201="","",MONTH(A201))</f>
        <v/>
      </c>
    </row>
    <row r="202" customFormat="false" ht="15" hidden="false" customHeight="false" outlineLevel="0" collapsed="false">
      <c r="A202" s="12"/>
      <c r="B202" s="8"/>
      <c r="C202" s="8"/>
      <c r="D202" s="8"/>
      <c r="E202" s="9"/>
      <c r="F202" s="13" t="str">
        <f aca="false">IF(A202="","",MONTH(A202))</f>
        <v/>
      </c>
    </row>
    <row r="203" customFormat="false" ht="15" hidden="false" customHeight="false" outlineLevel="0" collapsed="false">
      <c r="A203" s="12"/>
      <c r="B203" s="8"/>
      <c r="C203" s="8"/>
      <c r="D203" s="8"/>
      <c r="E203" s="9"/>
      <c r="F203" s="13" t="str">
        <f aca="false">IF(A203="","",MONTH(A203))</f>
        <v/>
      </c>
    </row>
    <row r="204" customFormat="false" ht="15" hidden="false" customHeight="false" outlineLevel="0" collapsed="false">
      <c r="A204" s="12"/>
      <c r="B204" s="8"/>
      <c r="C204" s="8"/>
      <c r="D204" s="8"/>
      <c r="E204" s="9"/>
      <c r="F204" s="13" t="str">
        <f aca="false">IF(A204="","",MONTH(A204))</f>
        <v/>
      </c>
    </row>
    <row r="205" customFormat="false" ht="15" hidden="false" customHeight="false" outlineLevel="0" collapsed="false">
      <c r="A205" s="12"/>
      <c r="B205" s="8"/>
      <c r="C205" s="8"/>
      <c r="D205" s="8"/>
      <c r="E205" s="9"/>
      <c r="F205" s="13" t="str">
        <f aca="false">IF(A205="","",MONTH(A205))</f>
        <v/>
      </c>
    </row>
    <row r="206" customFormat="false" ht="15" hidden="false" customHeight="false" outlineLevel="0" collapsed="false">
      <c r="A206" s="12"/>
      <c r="B206" s="8"/>
      <c r="C206" s="8"/>
      <c r="D206" s="8"/>
      <c r="E206" s="9"/>
      <c r="F206" s="13" t="str">
        <f aca="false">IF(A206="","",MONTH(A206))</f>
        <v/>
      </c>
    </row>
    <row r="207" customFormat="false" ht="15" hidden="false" customHeight="false" outlineLevel="0" collapsed="false">
      <c r="A207" s="12"/>
      <c r="B207" s="8"/>
      <c r="C207" s="8"/>
      <c r="D207" s="8"/>
      <c r="E207" s="9"/>
      <c r="F207" s="13" t="str">
        <f aca="false">IF(A207="","",MONTH(A207))</f>
        <v/>
      </c>
    </row>
    <row r="208" customFormat="false" ht="15" hidden="false" customHeight="false" outlineLevel="0" collapsed="false">
      <c r="A208" s="12"/>
      <c r="B208" s="8"/>
      <c r="C208" s="8"/>
      <c r="D208" s="8"/>
      <c r="E208" s="9"/>
      <c r="F208" s="13" t="str">
        <f aca="false">IF(A208="","",MONTH(A208))</f>
        <v/>
      </c>
    </row>
    <row r="209" customFormat="false" ht="15" hidden="false" customHeight="false" outlineLevel="0" collapsed="false">
      <c r="A209" s="12"/>
      <c r="B209" s="8"/>
      <c r="C209" s="8"/>
      <c r="D209" s="8"/>
      <c r="E209" s="9"/>
      <c r="F209" s="13" t="str">
        <f aca="false">IF(A209="","",MONTH(A209))</f>
        <v/>
      </c>
    </row>
    <row r="210" customFormat="false" ht="15" hidden="false" customHeight="false" outlineLevel="0" collapsed="false">
      <c r="A210" s="12"/>
      <c r="B210" s="8"/>
      <c r="C210" s="8"/>
      <c r="D210" s="8"/>
      <c r="E210" s="9"/>
      <c r="F210" s="13" t="str">
        <f aca="false">IF(A210="","",MONTH(A210))</f>
        <v/>
      </c>
    </row>
    <row r="211" customFormat="false" ht="15" hidden="false" customHeight="false" outlineLevel="0" collapsed="false">
      <c r="A211" s="12"/>
      <c r="B211" s="8"/>
      <c r="C211" s="8"/>
      <c r="D211" s="8"/>
      <c r="E211" s="9"/>
      <c r="F211" s="13" t="str">
        <f aca="false">IF(A211="","",MONTH(A211))</f>
        <v/>
      </c>
    </row>
    <row r="212" customFormat="false" ht="15" hidden="false" customHeight="false" outlineLevel="0" collapsed="false">
      <c r="A212" s="12"/>
      <c r="B212" s="8"/>
      <c r="C212" s="8"/>
      <c r="D212" s="8"/>
      <c r="E212" s="9"/>
      <c r="F212" s="13" t="str">
        <f aca="false">IF(A212="","",MONTH(A212))</f>
        <v/>
      </c>
    </row>
    <row r="213" customFormat="false" ht="15" hidden="false" customHeight="false" outlineLevel="0" collapsed="false">
      <c r="A213" s="12"/>
      <c r="B213" s="8"/>
      <c r="C213" s="8"/>
      <c r="D213" s="8"/>
      <c r="E213" s="9"/>
      <c r="F213" s="13" t="str">
        <f aca="false">IF(A213="","",MONTH(A213))</f>
        <v/>
      </c>
    </row>
    <row r="214" customFormat="false" ht="15" hidden="false" customHeight="false" outlineLevel="0" collapsed="false">
      <c r="A214" s="12"/>
      <c r="B214" s="8"/>
      <c r="C214" s="8"/>
      <c r="D214" s="8"/>
      <c r="E214" s="9"/>
      <c r="F214" s="13" t="str">
        <f aca="false">IF(A214="","",MONTH(A214))</f>
        <v/>
      </c>
    </row>
    <row r="215" customFormat="false" ht="15" hidden="false" customHeight="false" outlineLevel="0" collapsed="false">
      <c r="A215" s="12"/>
      <c r="B215" s="8"/>
      <c r="C215" s="8"/>
      <c r="D215" s="8"/>
      <c r="E215" s="9"/>
      <c r="F215" s="13" t="str">
        <f aca="false">IF(A215="","",MONTH(A215))</f>
        <v/>
      </c>
    </row>
    <row r="216" customFormat="false" ht="15" hidden="false" customHeight="false" outlineLevel="0" collapsed="false">
      <c r="A216" s="12"/>
      <c r="B216" s="8"/>
      <c r="C216" s="8"/>
      <c r="D216" s="8"/>
      <c r="E216" s="9"/>
      <c r="F216" s="13" t="str">
        <f aca="false">IF(A216="","",MONTH(A216))</f>
        <v/>
      </c>
    </row>
    <row r="217" customFormat="false" ht="15" hidden="false" customHeight="false" outlineLevel="0" collapsed="false">
      <c r="A217" s="12"/>
      <c r="B217" s="8"/>
      <c r="C217" s="8"/>
      <c r="D217" s="8"/>
      <c r="E217" s="9"/>
      <c r="F217" s="13" t="str">
        <f aca="false">IF(A217="","",MONTH(A217))</f>
        <v/>
      </c>
    </row>
    <row r="218" customFormat="false" ht="15" hidden="false" customHeight="false" outlineLevel="0" collapsed="false">
      <c r="A218" s="12"/>
      <c r="B218" s="8"/>
      <c r="C218" s="8"/>
      <c r="D218" s="8"/>
      <c r="E218" s="9"/>
      <c r="F218" s="13" t="str">
        <f aca="false">IF(A218="","",MONTH(A218))</f>
        <v/>
      </c>
    </row>
    <row r="219" customFormat="false" ht="15" hidden="false" customHeight="false" outlineLevel="0" collapsed="false">
      <c r="A219" s="12"/>
      <c r="B219" s="8"/>
      <c r="C219" s="8"/>
      <c r="D219" s="8"/>
      <c r="E219" s="9"/>
      <c r="F219" s="13" t="str">
        <f aca="false">IF(A219="","",MONTH(A219))</f>
        <v/>
      </c>
    </row>
    <row r="220" customFormat="false" ht="15" hidden="false" customHeight="false" outlineLevel="0" collapsed="false">
      <c r="A220" s="12"/>
      <c r="B220" s="8"/>
      <c r="C220" s="8"/>
      <c r="D220" s="8"/>
      <c r="E220" s="9"/>
      <c r="F220" s="13" t="str">
        <f aca="false">IF(A220="","",MONTH(A220))</f>
        <v/>
      </c>
    </row>
    <row r="221" customFormat="false" ht="15" hidden="false" customHeight="false" outlineLevel="0" collapsed="false">
      <c r="A221" s="12"/>
      <c r="B221" s="8"/>
      <c r="C221" s="8"/>
      <c r="D221" s="8"/>
      <c r="E221" s="9"/>
      <c r="F221" s="13" t="str">
        <f aca="false">IF(A221="","",MONTH(A221))</f>
        <v/>
      </c>
    </row>
    <row r="222" customFormat="false" ht="15" hidden="false" customHeight="false" outlineLevel="0" collapsed="false">
      <c r="A222" s="12"/>
      <c r="B222" s="8"/>
      <c r="C222" s="8"/>
      <c r="D222" s="8"/>
      <c r="E222" s="9"/>
      <c r="F222" s="13" t="str">
        <f aca="false">IF(A222="","",MONTH(A222))</f>
        <v/>
      </c>
    </row>
    <row r="223" customFormat="false" ht="15" hidden="false" customHeight="false" outlineLevel="0" collapsed="false">
      <c r="A223" s="12"/>
      <c r="B223" s="8"/>
      <c r="C223" s="8"/>
      <c r="D223" s="8"/>
      <c r="E223" s="9"/>
      <c r="F223" s="13" t="str">
        <f aca="false">IF(A223="","",MONTH(A223))</f>
        <v/>
      </c>
    </row>
    <row r="224" customFormat="false" ht="15" hidden="false" customHeight="false" outlineLevel="0" collapsed="false">
      <c r="A224" s="12"/>
      <c r="B224" s="8"/>
      <c r="C224" s="8"/>
      <c r="D224" s="8"/>
      <c r="E224" s="9"/>
      <c r="F224" s="13" t="str">
        <f aca="false">IF(A224="","",MONTH(A224))</f>
        <v/>
      </c>
    </row>
    <row r="225" customFormat="false" ht="15" hidden="false" customHeight="false" outlineLevel="0" collapsed="false">
      <c r="A225" s="12"/>
      <c r="B225" s="8"/>
      <c r="C225" s="8"/>
      <c r="D225" s="8"/>
      <c r="E225" s="9"/>
      <c r="F225" s="13" t="str">
        <f aca="false">IF(A225="","",MONTH(A225))</f>
        <v/>
      </c>
    </row>
    <row r="226" customFormat="false" ht="15" hidden="false" customHeight="false" outlineLevel="0" collapsed="false">
      <c r="A226" s="12"/>
      <c r="B226" s="8"/>
      <c r="C226" s="8"/>
      <c r="D226" s="8"/>
      <c r="E226" s="9"/>
      <c r="F226" s="13" t="str">
        <f aca="false">IF(A226="","",MONTH(A226))</f>
        <v/>
      </c>
    </row>
    <row r="227" customFormat="false" ht="15" hidden="false" customHeight="false" outlineLevel="0" collapsed="false">
      <c r="A227" s="12"/>
      <c r="B227" s="8"/>
      <c r="C227" s="8"/>
      <c r="D227" s="8"/>
      <c r="E227" s="9"/>
      <c r="F227" s="13" t="str">
        <f aca="false">IF(A227="","",MONTH(A227))</f>
        <v/>
      </c>
    </row>
    <row r="228" customFormat="false" ht="15" hidden="false" customHeight="false" outlineLevel="0" collapsed="false">
      <c r="A228" s="12"/>
      <c r="B228" s="8"/>
      <c r="C228" s="8"/>
      <c r="D228" s="8"/>
      <c r="E228" s="9"/>
      <c r="F228" s="13" t="str">
        <f aca="false">IF(A228="","",MONTH(A228))</f>
        <v/>
      </c>
    </row>
    <row r="229" customFormat="false" ht="15" hidden="false" customHeight="false" outlineLevel="0" collapsed="false">
      <c r="A229" s="12"/>
      <c r="B229" s="8"/>
      <c r="C229" s="8"/>
      <c r="D229" s="8"/>
      <c r="E229" s="9"/>
      <c r="F229" s="13" t="str">
        <f aca="false">IF(A229="","",MONTH(A229))</f>
        <v/>
      </c>
    </row>
    <row r="230" customFormat="false" ht="15" hidden="false" customHeight="false" outlineLevel="0" collapsed="false">
      <c r="A230" s="12"/>
      <c r="B230" s="8"/>
      <c r="C230" s="8"/>
      <c r="D230" s="8"/>
      <c r="E230" s="9"/>
      <c r="F230" s="13" t="str">
        <f aca="false">IF(A230="","",MONTH(A230))</f>
        <v/>
      </c>
    </row>
    <row r="231" customFormat="false" ht="15" hidden="false" customHeight="false" outlineLevel="0" collapsed="false">
      <c r="A231" s="12"/>
      <c r="B231" s="8"/>
      <c r="C231" s="8"/>
      <c r="D231" s="8"/>
      <c r="E231" s="9"/>
      <c r="F231" s="13" t="str">
        <f aca="false">IF(A231="","",MONTH(A231))</f>
        <v/>
      </c>
    </row>
    <row r="232" customFormat="false" ht="15" hidden="false" customHeight="false" outlineLevel="0" collapsed="false">
      <c r="A232" s="12"/>
      <c r="B232" s="8"/>
      <c r="C232" s="8"/>
      <c r="D232" s="8"/>
      <c r="E232" s="9"/>
      <c r="F232" s="13" t="str">
        <f aca="false">IF(A232="","",MONTH(A232))</f>
        <v/>
      </c>
    </row>
    <row r="233" customFormat="false" ht="15" hidden="false" customHeight="false" outlineLevel="0" collapsed="false">
      <c r="A233" s="12"/>
      <c r="B233" s="8"/>
      <c r="C233" s="8"/>
      <c r="D233" s="8"/>
      <c r="E233" s="9"/>
      <c r="F233" s="13" t="str">
        <f aca="false">IF(A233="","",MONTH(A233))</f>
        <v/>
      </c>
    </row>
    <row r="234" customFormat="false" ht="15" hidden="false" customHeight="false" outlineLevel="0" collapsed="false">
      <c r="A234" s="12"/>
      <c r="B234" s="8"/>
      <c r="C234" s="8"/>
      <c r="D234" s="8"/>
      <c r="E234" s="9"/>
      <c r="F234" s="13" t="str">
        <f aca="false">IF(A234="","",MONTH(A234))</f>
        <v/>
      </c>
    </row>
    <row r="235" customFormat="false" ht="15" hidden="false" customHeight="false" outlineLevel="0" collapsed="false">
      <c r="A235" s="12"/>
      <c r="B235" s="8"/>
      <c r="C235" s="8"/>
      <c r="D235" s="8"/>
      <c r="E235" s="9"/>
      <c r="F235" s="13" t="str">
        <f aca="false">IF(A235="","",MONTH(A235))</f>
        <v/>
      </c>
    </row>
    <row r="236" customFormat="false" ht="15" hidden="false" customHeight="false" outlineLevel="0" collapsed="false">
      <c r="A236" s="12"/>
      <c r="B236" s="8"/>
      <c r="C236" s="8"/>
      <c r="D236" s="8"/>
      <c r="E236" s="9"/>
      <c r="F236" s="13" t="str">
        <f aca="false">IF(A236="","",MONTH(A236))</f>
        <v/>
      </c>
    </row>
    <row r="237" customFormat="false" ht="15" hidden="false" customHeight="false" outlineLevel="0" collapsed="false">
      <c r="A237" s="12"/>
      <c r="B237" s="8"/>
      <c r="C237" s="8"/>
      <c r="D237" s="8"/>
      <c r="E237" s="9"/>
      <c r="F237" s="13" t="str">
        <f aca="false">IF(A237="","",MONTH(A237))</f>
        <v/>
      </c>
    </row>
    <row r="238" customFormat="false" ht="15" hidden="false" customHeight="false" outlineLevel="0" collapsed="false">
      <c r="A238" s="12"/>
      <c r="B238" s="8"/>
      <c r="C238" s="8"/>
      <c r="D238" s="8"/>
      <c r="E238" s="9"/>
      <c r="F238" s="13" t="str">
        <f aca="false">IF(A238="","",MONTH(A238))</f>
        <v/>
      </c>
    </row>
    <row r="239" customFormat="false" ht="15" hidden="false" customHeight="false" outlineLevel="0" collapsed="false">
      <c r="A239" s="12"/>
      <c r="B239" s="8"/>
      <c r="C239" s="8"/>
      <c r="D239" s="8"/>
      <c r="E239" s="9"/>
      <c r="F239" s="13" t="str">
        <f aca="false">IF(A239="","",MONTH(A239))</f>
        <v/>
      </c>
    </row>
    <row r="240" customFormat="false" ht="15" hidden="false" customHeight="false" outlineLevel="0" collapsed="false">
      <c r="A240" s="12"/>
      <c r="B240" s="8"/>
      <c r="C240" s="8"/>
      <c r="D240" s="8"/>
      <c r="E240" s="9"/>
      <c r="F240" s="13" t="str">
        <f aca="false">IF(A240="","",MONTH(A240))</f>
        <v/>
      </c>
    </row>
    <row r="241" customFormat="false" ht="15" hidden="false" customHeight="false" outlineLevel="0" collapsed="false">
      <c r="A241" s="12"/>
      <c r="B241" s="8"/>
      <c r="C241" s="8"/>
      <c r="D241" s="8"/>
      <c r="E241" s="9"/>
      <c r="F241" s="13" t="str">
        <f aca="false">IF(A241="","",MONTH(A241))</f>
        <v/>
      </c>
    </row>
    <row r="242" customFormat="false" ht="15" hidden="false" customHeight="false" outlineLevel="0" collapsed="false">
      <c r="A242" s="12"/>
      <c r="B242" s="8"/>
      <c r="C242" s="8"/>
      <c r="D242" s="8"/>
      <c r="E242" s="9"/>
      <c r="F242" s="13" t="str">
        <f aca="false">IF(A242="","",MONTH(A242))</f>
        <v/>
      </c>
    </row>
    <row r="243" customFormat="false" ht="15" hidden="false" customHeight="false" outlineLevel="0" collapsed="false">
      <c r="A243" s="12"/>
      <c r="B243" s="8"/>
      <c r="C243" s="8"/>
      <c r="D243" s="8"/>
      <c r="E243" s="9"/>
      <c r="F243" s="13" t="str">
        <f aca="false">IF(A243="","",MONTH(A243))</f>
        <v/>
      </c>
    </row>
    <row r="244" customFormat="false" ht="15" hidden="false" customHeight="false" outlineLevel="0" collapsed="false">
      <c r="A244" s="12"/>
      <c r="B244" s="8"/>
      <c r="C244" s="8"/>
      <c r="D244" s="8"/>
      <c r="E244" s="9"/>
      <c r="F244" s="13" t="str">
        <f aca="false">IF(A244="","",MONTH(A244))</f>
        <v/>
      </c>
    </row>
    <row r="245" customFormat="false" ht="15" hidden="false" customHeight="false" outlineLevel="0" collapsed="false">
      <c r="A245" s="12"/>
      <c r="B245" s="8"/>
      <c r="C245" s="8"/>
      <c r="D245" s="8"/>
      <c r="E245" s="9"/>
      <c r="F245" s="13" t="str">
        <f aca="false">IF(A245="","",MONTH(A245))</f>
        <v/>
      </c>
    </row>
    <row r="246" customFormat="false" ht="15" hidden="false" customHeight="false" outlineLevel="0" collapsed="false">
      <c r="A246" s="12"/>
      <c r="B246" s="8"/>
      <c r="C246" s="8"/>
      <c r="D246" s="8"/>
      <c r="E246" s="9"/>
      <c r="F246" s="13" t="str">
        <f aca="false">IF(A246="","",MONTH(A246))</f>
        <v/>
      </c>
    </row>
    <row r="247" customFormat="false" ht="15" hidden="false" customHeight="false" outlineLevel="0" collapsed="false">
      <c r="A247" s="12"/>
      <c r="B247" s="8"/>
      <c r="C247" s="8"/>
      <c r="D247" s="8"/>
      <c r="E247" s="9"/>
      <c r="F247" s="13" t="str">
        <f aca="false">IF(A247="","",MONTH(A247))</f>
        <v/>
      </c>
    </row>
    <row r="248" customFormat="false" ht="15" hidden="false" customHeight="false" outlineLevel="0" collapsed="false">
      <c r="A248" s="12"/>
      <c r="B248" s="8"/>
      <c r="C248" s="8"/>
      <c r="D248" s="8"/>
      <c r="E248" s="9"/>
      <c r="F248" s="13" t="str">
        <f aca="false">IF(A248="","",MONTH(A248))</f>
        <v/>
      </c>
    </row>
    <row r="249" customFormat="false" ht="15" hidden="false" customHeight="false" outlineLevel="0" collapsed="false">
      <c r="A249" s="12"/>
      <c r="B249" s="8"/>
      <c r="C249" s="8"/>
      <c r="D249" s="8"/>
      <c r="E249" s="9"/>
      <c r="F249" s="13" t="str">
        <f aca="false">IF(A249="","",MONTH(A249))</f>
        <v/>
      </c>
    </row>
    <row r="250" customFormat="false" ht="15" hidden="false" customHeight="false" outlineLevel="0" collapsed="false">
      <c r="A250" s="12"/>
      <c r="B250" s="8"/>
      <c r="C250" s="8"/>
      <c r="D250" s="8"/>
      <c r="E250" s="9"/>
      <c r="F250" s="13" t="str">
        <f aca="false">IF(A250="","",MONTH(A250))</f>
        <v/>
      </c>
    </row>
    <row r="251" customFormat="false" ht="15" hidden="false" customHeight="false" outlineLevel="0" collapsed="false">
      <c r="A251" s="12"/>
      <c r="B251" s="8"/>
      <c r="C251" s="8"/>
      <c r="D251" s="8"/>
      <c r="E251" s="9"/>
      <c r="F251" s="13" t="str">
        <f aca="false">IF(A251="","",MONTH(A251))</f>
        <v/>
      </c>
    </row>
    <row r="252" customFormat="false" ht="15" hidden="false" customHeight="false" outlineLevel="0" collapsed="false">
      <c r="A252" s="12"/>
      <c r="B252" s="8"/>
      <c r="C252" s="8"/>
      <c r="D252" s="8"/>
      <c r="E252" s="9"/>
      <c r="F252" s="13" t="str">
        <f aca="false">IF(A252="","",MONTH(A252))</f>
        <v/>
      </c>
    </row>
    <row r="253" customFormat="false" ht="15" hidden="false" customHeight="false" outlineLevel="0" collapsed="false">
      <c r="A253" s="12"/>
      <c r="B253" s="8"/>
      <c r="C253" s="8"/>
      <c r="D253" s="8"/>
      <c r="E253" s="9"/>
      <c r="F253" s="13" t="str">
        <f aca="false">IF(A253="","",MONTH(A253))</f>
        <v/>
      </c>
    </row>
    <row r="254" customFormat="false" ht="15" hidden="false" customHeight="false" outlineLevel="0" collapsed="false">
      <c r="A254" s="12"/>
      <c r="B254" s="8"/>
      <c r="C254" s="8"/>
      <c r="D254" s="8"/>
      <c r="E254" s="9"/>
      <c r="F254" s="13" t="str">
        <f aca="false">IF(A254="","",MONTH(A254))</f>
        <v/>
      </c>
    </row>
    <row r="255" customFormat="false" ht="15" hidden="false" customHeight="false" outlineLevel="0" collapsed="false">
      <c r="A255" s="12"/>
      <c r="B255" s="8"/>
      <c r="C255" s="8"/>
      <c r="D255" s="8"/>
      <c r="E255" s="9"/>
      <c r="F255" s="13" t="str">
        <f aca="false">IF(A255="","",MONTH(A255))</f>
        <v/>
      </c>
    </row>
    <row r="256" customFormat="false" ht="15" hidden="false" customHeight="false" outlineLevel="0" collapsed="false">
      <c r="A256" s="12"/>
      <c r="B256" s="8"/>
      <c r="C256" s="8"/>
      <c r="D256" s="8"/>
      <c r="E256" s="9"/>
      <c r="F256" s="13" t="str">
        <f aca="false">IF(A256="","",MONTH(A256))</f>
        <v/>
      </c>
    </row>
    <row r="257" customFormat="false" ht="15" hidden="false" customHeight="false" outlineLevel="0" collapsed="false">
      <c r="A257" s="12"/>
      <c r="B257" s="8"/>
      <c r="C257" s="8"/>
      <c r="D257" s="8"/>
      <c r="E257" s="9"/>
      <c r="F257" s="13" t="str">
        <f aca="false">IF(A257="","",MONTH(A257))</f>
        <v/>
      </c>
    </row>
    <row r="258" customFormat="false" ht="15" hidden="false" customHeight="false" outlineLevel="0" collapsed="false">
      <c r="A258" s="12"/>
      <c r="B258" s="8"/>
      <c r="C258" s="8"/>
      <c r="D258" s="8"/>
      <c r="E258" s="9"/>
      <c r="F258" s="13" t="str">
        <f aca="false">IF(A258="","",MONTH(A258))</f>
        <v/>
      </c>
    </row>
    <row r="259" customFormat="false" ht="15" hidden="false" customHeight="false" outlineLevel="0" collapsed="false">
      <c r="A259" s="12"/>
      <c r="B259" s="8"/>
      <c r="C259" s="8"/>
      <c r="D259" s="8"/>
      <c r="E259" s="9"/>
      <c r="F259" s="13" t="str">
        <f aca="false">IF(A259="","",MONTH(A259))</f>
        <v/>
      </c>
    </row>
    <row r="260" customFormat="false" ht="15" hidden="false" customHeight="false" outlineLevel="0" collapsed="false">
      <c r="A260" s="12"/>
      <c r="B260" s="8"/>
      <c r="C260" s="8"/>
      <c r="D260" s="8"/>
      <c r="E260" s="9"/>
      <c r="F260" s="13" t="str">
        <f aca="false">IF(A260="","",MONTH(A260))</f>
        <v/>
      </c>
    </row>
    <row r="261" customFormat="false" ht="15" hidden="false" customHeight="false" outlineLevel="0" collapsed="false">
      <c r="A261" s="12"/>
      <c r="B261" s="8"/>
      <c r="C261" s="8"/>
      <c r="D261" s="8"/>
      <c r="E261" s="9"/>
      <c r="F261" s="13" t="str">
        <f aca="false">IF(A261="","",MONTH(A261))</f>
        <v/>
      </c>
    </row>
    <row r="262" customFormat="false" ht="15" hidden="false" customHeight="false" outlineLevel="0" collapsed="false">
      <c r="A262" s="12"/>
      <c r="B262" s="8"/>
      <c r="C262" s="8"/>
      <c r="D262" s="8"/>
      <c r="E262" s="9"/>
      <c r="F262" s="13" t="str">
        <f aca="false">IF(A262="","",MONTH(A262))</f>
        <v/>
      </c>
    </row>
    <row r="263" customFormat="false" ht="15" hidden="false" customHeight="false" outlineLevel="0" collapsed="false">
      <c r="A263" s="12"/>
      <c r="B263" s="8"/>
      <c r="C263" s="8"/>
      <c r="D263" s="8"/>
      <c r="E263" s="9"/>
      <c r="F263" s="13" t="str">
        <f aca="false">IF(A263="","",MONTH(A263))</f>
        <v/>
      </c>
    </row>
    <row r="264" customFormat="false" ht="15" hidden="false" customHeight="false" outlineLevel="0" collapsed="false">
      <c r="A264" s="12"/>
      <c r="B264" s="8"/>
      <c r="C264" s="8"/>
      <c r="D264" s="8"/>
      <c r="E264" s="9"/>
      <c r="F264" s="13" t="str">
        <f aca="false">IF(A264="","",MONTH(A264))</f>
        <v/>
      </c>
    </row>
    <row r="265" customFormat="false" ht="15" hidden="false" customHeight="false" outlineLevel="0" collapsed="false">
      <c r="A265" s="12"/>
      <c r="B265" s="8"/>
      <c r="C265" s="8"/>
      <c r="D265" s="8"/>
      <c r="E265" s="9"/>
      <c r="F265" s="13" t="str">
        <f aca="false">IF(A265="","",MONTH(A265))</f>
        <v/>
      </c>
    </row>
    <row r="266" customFormat="false" ht="15" hidden="false" customHeight="false" outlineLevel="0" collapsed="false">
      <c r="A266" s="12"/>
      <c r="B266" s="8"/>
      <c r="C266" s="8"/>
      <c r="D266" s="8"/>
      <c r="E266" s="9"/>
      <c r="F266" s="13" t="str">
        <f aca="false">IF(A266="","",MONTH(A266))</f>
        <v/>
      </c>
    </row>
    <row r="267" customFormat="false" ht="15" hidden="false" customHeight="false" outlineLevel="0" collapsed="false">
      <c r="A267" s="12"/>
      <c r="B267" s="8"/>
      <c r="C267" s="8"/>
      <c r="D267" s="8"/>
      <c r="E267" s="9"/>
      <c r="F267" s="13" t="str">
        <f aca="false">IF(A267="","",MONTH(A267))</f>
        <v/>
      </c>
    </row>
    <row r="268" customFormat="false" ht="15" hidden="false" customHeight="false" outlineLevel="0" collapsed="false">
      <c r="A268" s="12"/>
      <c r="B268" s="8"/>
      <c r="C268" s="8"/>
      <c r="D268" s="8"/>
      <c r="E268" s="9"/>
      <c r="F268" s="13" t="str">
        <f aca="false">IF(A268="","",MONTH(A268))</f>
        <v/>
      </c>
    </row>
    <row r="269" customFormat="false" ht="15" hidden="false" customHeight="false" outlineLevel="0" collapsed="false">
      <c r="A269" s="12"/>
      <c r="B269" s="8"/>
      <c r="C269" s="8"/>
      <c r="D269" s="8"/>
      <c r="E269" s="9"/>
      <c r="F269" s="13" t="str">
        <f aca="false">IF(A269="","",MONTH(A269))</f>
        <v/>
      </c>
    </row>
    <row r="270" customFormat="false" ht="15" hidden="false" customHeight="false" outlineLevel="0" collapsed="false">
      <c r="A270" s="12"/>
      <c r="B270" s="8"/>
      <c r="C270" s="8"/>
      <c r="D270" s="8"/>
      <c r="E270" s="9"/>
      <c r="F270" s="13" t="str">
        <f aca="false">IF(A270="","",MONTH(A270))</f>
        <v/>
      </c>
    </row>
    <row r="271" customFormat="false" ht="15" hidden="false" customHeight="false" outlineLevel="0" collapsed="false">
      <c r="A271" s="12"/>
      <c r="B271" s="8"/>
      <c r="C271" s="8"/>
      <c r="D271" s="8"/>
      <c r="E271" s="9"/>
      <c r="F271" s="13" t="str">
        <f aca="false">IF(A271="","",MONTH(A271))</f>
        <v/>
      </c>
    </row>
    <row r="272" customFormat="false" ht="15" hidden="false" customHeight="false" outlineLevel="0" collapsed="false">
      <c r="A272" s="12"/>
      <c r="B272" s="8"/>
      <c r="C272" s="8"/>
      <c r="D272" s="8"/>
      <c r="E272" s="9"/>
      <c r="F272" s="13" t="str">
        <f aca="false">IF(A272="","",MONTH(A272))</f>
        <v/>
      </c>
    </row>
    <row r="273" customFormat="false" ht="15" hidden="false" customHeight="false" outlineLevel="0" collapsed="false">
      <c r="A273" s="12"/>
      <c r="B273" s="8"/>
      <c r="C273" s="8"/>
      <c r="D273" s="8"/>
      <c r="E273" s="9"/>
      <c r="F273" s="13" t="str">
        <f aca="false">IF(A273="","",MONTH(A273))</f>
        <v/>
      </c>
    </row>
    <row r="274" customFormat="false" ht="15" hidden="false" customHeight="false" outlineLevel="0" collapsed="false">
      <c r="A274" s="12"/>
      <c r="B274" s="8"/>
      <c r="C274" s="8"/>
      <c r="D274" s="8"/>
      <c r="E274" s="9"/>
      <c r="F274" s="13" t="str">
        <f aca="false">IF(A274="","",MONTH(A274))</f>
        <v/>
      </c>
    </row>
    <row r="275" customFormat="false" ht="15" hidden="false" customHeight="false" outlineLevel="0" collapsed="false">
      <c r="A275" s="12"/>
      <c r="B275" s="8"/>
      <c r="C275" s="8"/>
      <c r="D275" s="8"/>
      <c r="E275" s="9"/>
      <c r="F275" s="13" t="str">
        <f aca="false">IF(A275="","",MONTH(A275))</f>
        <v/>
      </c>
    </row>
    <row r="276" customFormat="false" ht="15" hidden="false" customHeight="false" outlineLevel="0" collapsed="false">
      <c r="A276" s="12"/>
      <c r="B276" s="8"/>
      <c r="C276" s="8"/>
      <c r="D276" s="8"/>
      <c r="E276" s="9"/>
      <c r="F276" s="13" t="str">
        <f aca="false">IF(A276="","",MONTH(A276))</f>
        <v/>
      </c>
    </row>
    <row r="277" customFormat="false" ht="15" hidden="false" customHeight="false" outlineLevel="0" collapsed="false">
      <c r="A277" s="12"/>
      <c r="B277" s="8"/>
      <c r="C277" s="8"/>
      <c r="D277" s="8"/>
      <c r="E277" s="9"/>
      <c r="F277" s="13" t="str">
        <f aca="false">IF(A277="","",MONTH(A277))</f>
        <v/>
      </c>
    </row>
    <row r="278" customFormat="false" ht="15" hidden="false" customHeight="false" outlineLevel="0" collapsed="false">
      <c r="A278" s="12"/>
      <c r="B278" s="8"/>
      <c r="C278" s="8"/>
      <c r="D278" s="8"/>
      <c r="E278" s="9"/>
      <c r="F278" s="13" t="str">
        <f aca="false">IF(A278="","",MONTH(A278))</f>
        <v/>
      </c>
    </row>
    <row r="279" customFormat="false" ht="15" hidden="false" customHeight="false" outlineLevel="0" collapsed="false">
      <c r="A279" s="12"/>
      <c r="B279" s="8"/>
      <c r="C279" s="8"/>
      <c r="D279" s="8"/>
      <c r="E279" s="9"/>
      <c r="F279" s="13" t="str">
        <f aca="false">IF(A279="","",MONTH(A279))</f>
        <v/>
      </c>
    </row>
    <row r="280" customFormat="false" ht="15" hidden="false" customHeight="false" outlineLevel="0" collapsed="false">
      <c r="A280" s="12"/>
      <c r="B280" s="8"/>
      <c r="C280" s="8"/>
      <c r="D280" s="8"/>
      <c r="E280" s="9"/>
      <c r="F280" s="13" t="str">
        <f aca="false">IF(A280="","",MONTH(A280))</f>
        <v/>
      </c>
    </row>
    <row r="281" customFormat="false" ht="15" hidden="false" customHeight="false" outlineLevel="0" collapsed="false">
      <c r="A281" s="12"/>
      <c r="B281" s="8"/>
      <c r="C281" s="8"/>
      <c r="D281" s="8"/>
      <c r="E281" s="9"/>
      <c r="F281" s="13" t="str">
        <f aca="false">IF(A281="","",MONTH(A281))</f>
        <v/>
      </c>
    </row>
    <row r="282" customFormat="false" ht="15" hidden="false" customHeight="false" outlineLevel="0" collapsed="false">
      <c r="A282" s="12"/>
      <c r="B282" s="8"/>
      <c r="C282" s="8"/>
      <c r="D282" s="8"/>
      <c r="E282" s="9"/>
      <c r="F282" s="13" t="str">
        <f aca="false">IF(A282="","",MONTH(A282))</f>
        <v/>
      </c>
    </row>
    <row r="283" customFormat="false" ht="15" hidden="false" customHeight="false" outlineLevel="0" collapsed="false">
      <c r="A283" s="12"/>
      <c r="B283" s="8"/>
      <c r="C283" s="8"/>
      <c r="D283" s="8"/>
      <c r="E283" s="9"/>
      <c r="F283" s="13" t="str">
        <f aca="false">IF(A283="","",MONTH(A283))</f>
        <v/>
      </c>
    </row>
    <row r="284" customFormat="false" ht="15" hidden="false" customHeight="false" outlineLevel="0" collapsed="false">
      <c r="A284" s="12"/>
      <c r="B284" s="8"/>
      <c r="C284" s="8"/>
      <c r="D284" s="8"/>
      <c r="E284" s="9"/>
      <c r="F284" s="13" t="str">
        <f aca="false">IF(A284="","",MONTH(A284))</f>
        <v/>
      </c>
    </row>
    <row r="285" customFormat="false" ht="15" hidden="false" customHeight="false" outlineLevel="0" collapsed="false">
      <c r="A285" s="12"/>
      <c r="B285" s="8"/>
      <c r="C285" s="8"/>
      <c r="D285" s="8"/>
      <c r="E285" s="9"/>
      <c r="F285" s="13" t="str">
        <f aca="false">IF(A285="","",MONTH(A285))</f>
        <v/>
      </c>
    </row>
    <row r="286" customFormat="false" ht="15" hidden="false" customHeight="false" outlineLevel="0" collapsed="false">
      <c r="A286" s="12"/>
      <c r="B286" s="8"/>
      <c r="C286" s="8"/>
      <c r="D286" s="8"/>
      <c r="E286" s="9"/>
      <c r="F286" s="13" t="str">
        <f aca="false">IF(A286="","",MONTH(A286))</f>
        <v/>
      </c>
    </row>
    <row r="287" customFormat="false" ht="15" hidden="false" customHeight="false" outlineLevel="0" collapsed="false">
      <c r="A287" s="12"/>
      <c r="B287" s="8"/>
      <c r="C287" s="8"/>
      <c r="D287" s="8"/>
      <c r="E287" s="9"/>
      <c r="F287" s="13" t="str">
        <f aca="false">IF(A287="","",MONTH(A287))</f>
        <v/>
      </c>
    </row>
    <row r="288" customFormat="false" ht="15" hidden="false" customHeight="false" outlineLevel="0" collapsed="false">
      <c r="A288" s="12"/>
      <c r="B288" s="8"/>
      <c r="C288" s="8"/>
      <c r="D288" s="8"/>
      <c r="E288" s="9"/>
      <c r="F288" s="13" t="str">
        <f aca="false">IF(A288="","",MONTH(A288))</f>
        <v/>
      </c>
    </row>
    <row r="289" customFormat="false" ht="15" hidden="false" customHeight="false" outlineLevel="0" collapsed="false">
      <c r="A289" s="12"/>
      <c r="B289" s="8"/>
      <c r="C289" s="8"/>
      <c r="D289" s="8"/>
      <c r="E289" s="9"/>
      <c r="F289" s="13" t="str">
        <f aca="false">IF(A289="","",MONTH(A289))</f>
        <v/>
      </c>
    </row>
    <row r="290" customFormat="false" ht="15" hidden="false" customHeight="false" outlineLevel="0" collapsed="false">
      <c r="A290" s="12"/>
      <c r="B290" s="8"/>
      <c r="C290" s="8"/>
      <c r="D290" s="8"/>
      <c r="E290" s="9"/>
      <c r="F290" s="13" t="str">
        <f aca="false">IF(A290="","",MONTH(A290))</f>
        <v/>
      </c>
    </row>
    <row r="291" customFormat="false" ht="15" hidden="false" customHeight="false" outlineLevel="0" collapsed="false">
      <c r="A291" s="12"/>
      <c r="B291" s="8"/>
      <c r="C291" s="8"/>
      <c r="D291" s="8"/>
      <c r="E291" s="9"/>
      <c r="F291" s="13" t="str">
        <f aca="false">IF(A291="","",MONTH(A291))</f>
        <v/>
      </c>
    </row>
    <row r="292" customFormat="false" ht="15" hidden="false" customHeight="false" outlineLevel="0" collapsed="false">
      <c r="A292" s="12"/>
      <c r="B292" s="8"/>
      <c r="C292" s="8"/>
      <c r="D292" s="8"/>
      <c r="E292" s="9"/>
      <c r="F292" s="13" t="str">
        <f aca="false">IF(A292="","",MONTH(A292))</f>
        <v/>
      </c>
    </row>
    <row r="293" customFormat="false" ht="15" hidden="false" customHeight="false" outlineLevel="0" collapsed="false">
      <c r="A293" s="12"/>
      <c r="B293" s="8"/>
      <c r="C293" s="8"/>
      <c r="D293" s="8"/>
      <c r="E293" s="9"/>
      <c r="F293" s="13" t="str">
        <f aca="false">IF(A293="","",MONTH(A293))</f>
        <v/>
      </c>
    </row>
    <row r="294" customFormat="false" ht="15" hidden="false" customHeight="false" outlineLevel="0" collapsed="false">
      <c r="A294" s="12"/>
      <c r="B294" s="8"/>
      <c r="C294" s="8"/>
      <c r="D294" s="8"/>
      <c r="E294" s="9"/>
      <c r="F294" s="13" t="str">
        <f aca="false">IF(A294="","",MONTH(A294))</f>
        <v/>
      </c>
    </row>
    <row r="295" customFormat="false" ht="15" hidden="false" customHeight="false" outlineLevel="0" collapsed="false">
      <c r="A295" s="12"/>
      <c r="B295" s="8"/>
      <c r="C295" s="8"/>
      <c r="D295" s="8"/>
      <c r="E295" s="9"/>
      <c r="F295" s="13" t="str">
        <f aca="false">IF(A295="","",MONTH(A295))</f>
        <v/>
      </c>
    </row>
    <row r="296" customFormat="false" ht="15" hidden="false" customHeight="false" outlineLevel="0" collapsed="false">
      <c r="A296" s="12"/>
      <c r="B296" s="8"/>
      <c r="C296" s="8"/>
      <c r="D296" s="8"/>
      <c r="E296" s="9"/>
      <c r="F296" s="13" t="str">
        <f aca="false">IF(A296="","",MONTH(A296))</f>
        <v/>
      </c>
    </row>
    <row r="297" customFormat="false" ht="15" hidden="false" customHeight="false" outlineLevel="0" collapsed="false">
      <c r="A297" s="12"/>
      <c r="B297" s="8"/>
      <c r="C297" s="8"/>
      <c r="D297" s="8"/>
      <c r="E297" s="9"/>
      <c r="F297" s="13" t="str">
        <f aca="false">IF(A297="","",MONTH(A297))</f>
        <v/>
      </c>
    </row>
    <row r="298" customFormat="false" ht="15" hidden="false" customHeight="false" outlineLevel="0" collapsed="false">
      <c r="A298" s="12"/>
      <c r="B298" s="8"/>
      <c r="C298" s="8"/>
      <c r="D298" s="8"/>
      <c r="E298" s="9"/>
      <c r="F298" s="13" t="str">
        <f aca="false">IF(A298="","",MONTH(A298))</f>
        <v/>
      </c>
    </row>
    <row r="299" customFormat="false" ht="15" hidden="false" customHeight="false" outlineLevel="0" collapsed="false">
      <c r="A299" s="12"/>
      <c r="B299" s="8"/>
      <c r="C299" s="8"/>
      <c r="D299" s="8"/>
      <c r="E299" s="9"/>
      <c r="F299" s="13" t="str">
        <f aca="false">IF(A299="","",MONTH(A299))</f>
        <v/>
      </c>
    </row>
    <row r="300" customFormat="false" ht="15" hidden="false" customHeight="false" outlineLevel="0" collapsed="false">
      <c r="A300" s="12"/>
      <c r="B300" s="8"/>
      <c r="C300" s="8"/>
      <c r="D300" s="8"/>
      <c r="E300" s="9"/>
      <c r="F300" s="13" t="str">
        <f aca="false">IF(A300="","",MONTH(A300))</f>
        <v/>
      </c>
    </row>
    <row r="301" customFormat="false" ht="15" hidden="false" customHeight="false" outlineLevel="0" collapsed="false">
      <c r="A301" s="12"/>
      <c r="B301" s="8"/>
      <c r="C301" s="8"/>
      <c r="D301" s="8"/>
      <c r="E301" s="9"/>
      <c r="F301" s="13" t="str">
        <f aca="false">IF(A301="","",MONTH(A301))</f>
        <v/>
      </c>
    </row>
    <row r="302" customFormat="false" ht="15" hidden="false" customHeight="false" outlineLevel="0" collapsed="false">
      <c r="A302" s="12"/>
      <c r="B302" s="8"/>
      <c r="C302" s="8"/>
      <c r="D302" s="8"/>
      <c r="E302" s="9"/>
      <c r="F302" s="13" t="str">
        <f aca="false">IF(A302="","",MONTH(A302))</f>
        <v/>
      </c>
    </row>
    <row r="303" customFormat="false" ht="15" hidden="false" customHeight="false" outlineLevel="0" collapsed="false">
      <c r="A303" s="12"/>
      <c r="B303" s="8"/>
      <c r="C303" s="8"/>
      <c r="D303" s="8"/>
      <c r="E303" s="9"/>
      <c r="F303" s="13" t="str">
        <f aca="false">IF(A303="","",MONTH(A303))</f>
        <v/>
      </c>
    </row>
    <row r="304" customFormat="false" ht="15" hidden="false" customHeight="false" outlineLevel="0" collapsed="false">
      <c r="A304" s="12"/>
      <c r="B304" s="8"/>
      <c r="C304" s="8"/>
      <c r="D304" s="8"/>
      <c r="E304" s="9"/>
      <c r="F304" s="13" t="str">
        <f aca="false">IF(A304="","",MONTH(A304))</f>
        <v/>
      </c>
    </row>
    <row r="305" customFormat="false" ht="15" hidden="false" customHeight="false" outlineLevel="0" collapsed="false">
      <c r="A305" s="12"/>
      <c r="B305" s="8"/>
      <c r="C305" s="8"/>
      <c r="D305" s="8"/>
      <c r="E305" s="9"/>
      <c r="F305" s="13" t="str">
        <f aca="false">IF(A305="","",MONTH(A305))</f>
        <v/>
      </c>
    </row>
    <row r="306" customFormat="false" ht="15" hidden="false" customHeight="false" outlineLevel="0" collapsed="false">
      <c r="A306" s="12"/>
      <c r="B306" s="8"/>
      <c r="C306" s="8"/>
      <c r="D306" s="8"/>
      <c r="E306" s="9"/>
      <c r="F306" s="13" t="str">
        <f aca="false">IF(A306="","",MONTH(A306))</f>
        <v/>
      </c>
    </row>
    <row r="307" customFormat="false" ht="15" hidden="false" customHeight="false" outlineLevel="0" collapsed="false">
      <c r="A307" s="12"/>
      <c r="B307" s="8"/>
      <c r="C307" s="8"/>
      <c r="D307" s="8"/>
      <c r="E307" s="9"/>
      <c r="F307" s="13" t="str">
        <f aca="false">IF(A307="","",MONTH(A307))</f>
        <v/>
      </c>
    </row>
    <row r="308" customFormat="false" ht="15" hidden="false" customHeight="false" outlineLevel="0" collapsed="false">
      <c r="A308" s="12"/>
      <c r="B308" s="8"/>
      <c r="C308" s="8"/>
      <c r="D308" s="8"/>
      <c r="E308" s="9"/>
      <c r="F308" s="13" t="str">
        <f aca="false">IF(A308="","",MONTH(A308))</f>
        <v/>
      </c>
    </row>
    <row r="309" customFormat="false" ht="15" hidden="false" customHeight="false" outlineLevel="0" collapsed="false">
      <c r="A309" s="12"/>
      <c r="B309" s="8"/>
      <c r="C309" s="8"/>
      <c r="D309" s="8"/>
      <c r="E309" s="9"/>
      <c r="F309" s="13" t="str">
        <f aca="false">IF(A309="","",MONTH(A309))</f>
        <v/>
      </c>
    </row>
    <row r="310" customFormat="false" ht="15" hidden="false" customHeight="false" outlineLevel="0" collapsed="false">
      <c r="A310" s="12"/>
      <c r="B310" s="8"/>
      <c r="C310" s="8"/>
      <c r="D310" s="8"/>
      <c r="E310" s="9"/>
      <c r="F310" s="13" t="str">
        <f aca="false">IF(A310="","",MONTH(A310))</f>
        <v/>
      </c>
    </row>
    <row r="311" customFormat="false" ht="15" hidden="false" customHeight="false" outlineLevel="0" collapsed="false">
      <c r="A311" s="12"/>
      <c r="B311" s="8"/>
      <c r="C311" s="8"/>
      <c r="D311" s="8"/>
      <c r="E311" s="9"/>
      <c r="F311" s="13" t="str">
        <f aca="false">IF(A311="","",MONTH(A311))</f>
        <v/>
      </c>
    </row>
    <row r="312" customFormat="false" ht="15" hidden="false" customHeight="false" outlineLevel="0" collapsed="false">
      <c r="A312" s="12"/>
      <c r="B312" s="8"/>
      <c r="C312" s="8"/>
      <c r="D312" s="8"/>
      <c r="E312" s="9"/>
      <c r="F312" s="13" t="str">
        <f aca="false">IF(A312="","",MONTH(A312))</f>
        <v/>
      </c>
    </row>
    <row r="313" customFormat="false" ht="15" hidden="false" customHeight="false" outlineLevel="0" collapsed="false">
      <c r="A313" s="12"/>
      <c r="B313" s="8"/>
      <c r="C313" s="8"/>
      <c r="D313" s="8"/>
      <c r="E313" s="9"/>
      <c r="F313" s="13" t="str">
        <f aca="false">IF(A313="","",MONTH(A313))</f>
        <v/>
      </c>
    </row>
    <row r="314" customFormat="false" ht="15" hidden="false" customHeight="false" outlineLevel="0" collapsed="false">
      <c r="A314" s="12"/>
      <c r="B314" s="8"/>
      <c r="C314" s="8"/>
      <c r="D314" s="8"/>
      <c r="E314" s="9"/>
      <c r="F314" s="13" t="str">
        <f aca="false">IF(A314="","",MONTH(A314))</f>
        <v/>
      </c>
    </row>
    <row r="315" customFormat="false" ht="15" hidden="false" customHeight="false" outlineLevel="0" collapsed="false">
      <c r="A315" s="12"/>
      <c r="B315" s="8"/>
      <c r="C315" s="8"/>
      <c r="D315" s="8"/>
      <c r="E315" s="9"/>
      <c r="F315" s="13" t="str">
        <f aca="false">IF(A315="","",MONTH(A315))</f>
        <v/>
      </c>
    </row>
    <row r="316" customFormat="false" ht="15" hidden="false" customHeight="false" outlineLevel="0" collapsed="false">
      <c r="A316" s="12"/>
      <c r="B316" s="8"/>
      <c r="C316" s="8"/>
      <c r="D316" s="8"/>
      <c r="E316" s="9"/>
      <c r="F316" s="13" t="str">
        <f aca="false">IF(A316="","",MONTH(A316))</f>
        <v/>
      </c>
    </row>
    <row r="317" customFormat="false" ht="15" hidden="false" customHeight="false" outlineLevel="0" collapsed="false">
      <c r="A317" s="12"/>
      <c r="B317" s="8"/>
      <c r="C317" s="8"/>
      <c r="D317" s="8"/>
      <c r="E317" s="9"/>
      <c r="F317" s="13" t="str">
        <f aca="false">IF(A317="","",MONTH(A317))</f>
        <v/>
      </c>
    </row>
    <row r="318" customFormat="false" ht="15" hidden="false" customHeight="false" outlineLevel="0" collapsed="false">
      <c r="A318" s="12"/>
      <c r="B318" s="8"/>
      <c r="C318" s="8"/>
      <c r="D318" s="8"/>
      <c r="E318" s="9"/>
      <c r="F318" s="13" t="str">
        <f aca="false">IF(A318="","",MONTH(A318))</f>
        <v/>
      </c>
    </row>
    <row r="319" customFormat="false" ht="15" hidden="false" customHeight="false" outlineLevel="0" collapsed="false">
      <c r="A319" s="12"/>
      <c r="B319" s="8"/>
      <c r="C319" s="8"/>
      <c r="D319" s="8"/>
      <c r="E319" s="9"/>
      <c r="F319" s="13" t="str">
        <f aca="false">IF(A319="","",MONTH(A319))</f>
        <v/>
      </c>
    </row>
    <row r="320" customFormat="false" ht="15" hidden="false" customHeight="false" outlineLevel="0" collapsed="false">
      <c r="A320" s="12"/>
      <c r="B320" s="8"/>
      <c r="C320" s="8"/>
      <c r="D320" s="8"/>
      <c r="E320" s="9"/>
      <c r="F320" s="13" t="str">
        <f aca="false">IF(A320="","",MONTH(A320))</f>
        <v/>
      </c>
    </row>
    <row r="321" customFormat="false" ht="15" hidden="false" customHeight="false" outlineLevel="0" collapsed="false">
      <c r="A321" s="12"/>
      <c r="B321" s="8"/>
      <c r="C321" s="8"/>
      <c r="D321" s="8"/>
      <c r="E321" s="9"/>
      <c r="F321" s="13" t="str">
        <f aca="false">IF(A321="","",MONTH(A321))</f>
        <v/>
      </c>
    </row>
    <row r="322" customFormat="false" ht="15" hidden="false" customHeight="false" outlineLevel="0" collapsed="false">
      <c r="A322" s="12"/>
      <c r="B322" s="8"/>
      <c r="C322" s="8"/>
      <c r="D322" s="8"/>
      <c r="E322" s="9"/>
      <c r="F322" s="13" t="str">
        <f aca="false">IF(A322="","",MONTH(A322))</f>
        <v/>
      </c>
    </row>
    <row r="323" customFormat="false" ht="15" hidden="false" customHeight="false" outlineLevel="0" collapsed="false">
      <c r="A323" s="12"/>
      <c r="B323" s="8"/>
      <c r="C323" s="8"/>
      <c r="D323" s="8"/>
      <c r="E323" s="9"/>
      <c r="F323" s="13" t="str">
        <f aca="false">IF(A323="","",MONTH(A323))</f>
        <v/>
      </c>
    </row>
    <row r="324" customFormat="false" ht="15" hidden="false" customHeight="false" outlineLevel="0" collapsed="false">
      <c r="A324" s="12"/>
      <c r="B324" s="8"/>
      <c r="C324" s="8"/>
      <c r="D324" s="8"/>
      <c r="E324" s="9"/>
      <c r="F324" s="13" t="str">
        <f aca="false">IF(A324="","",MONTH(A324))</f>
        <v/>
      </c>
    </row>
    <row r="325" customFormat="false" ht="15" hidden="false" customHeight="false" outlineLevel="0" collapsed="false">
      <c r="A325" s="12"/>
      <c r="B325" s="8"/>
      <c r="C325" s="8"/>
      <c r="D325" s="8"/>
      <c r="E325" s="9"/>
      <c r="F325" s="13" t="str">
        <f aca="false">IF(A325="","",MONTH(A325))</f>
        <v/>
      </c>
    </row>
    <row r="326" customFormat="false" ht="15" hidden="false" customHeight="false" outlineLevel="0" collapsed="false">
      <c r="A326" s="12"/>
      <c r="B326" s="8"/>
      <c r="C326" s="8"/>
      <c r="D326" s="8"/>
      <c r="E326" s="9"/>
      <c r="F326" s="13" t="str">
        <f aca="false">IF(A326="","",MONTH(A326))</f>
        <v/>
      </c>
    </row>
    <row r="327" customFormat="false" ht="15" hidden="false" customHeight="false" outlineLevel="0" collapsed="false">
      <c r="A327" s="12"/>
      <c r="B327" s="8"/>
      <c r="C327" s="8"/>
      <c r="D327" s="8"/>
      <c r="E327" s="9"/>
      <c r="F327" s="13" t="str">
        <f aca="false">IF(A327="","",MONTH(A327))</f>
        <v/>
      </c>
    </row>
    <row r="328" customFormat="false" ht="15" hidden="false" customHeight="false" outlineLevel="0" collapsed="false">
      <c r="A328" s="12"/>
      <c r="B328" s="8"/>
      <c r="C328" s="8"/>
      <c r="D328" s="8"/>
      <c r="E328" s="9"/>
      <c r="F328" s="13" t="str">
        <f aca="false">IF(A328="","",MONTH(A328))</f>
        <v/>
      </c>
    </row>
    <row r="329" customFormat="false" ht="15" hidden="false" customHeight="false" outlineLevel="0" collapsed="false">
      <c r="A329" s="12"/>
      <c r="B329" s="8"/>
      <c r="C329" s="8"/>
      <c r="D329" s="8"/>
      <c r="E329" s="9"/>
      <c r="F329" s="13" t="str">
        <f aca="false">IF(A329="","",MONTH(A329))</f>
        <v/>
      </c>
    </row>
    <row r="330" customFormat="false" ht="15" hidden="false" customHeight="false" outlineLevel="0" collapsed="false">
      <c r="A330" s="12"/>
      <c r="B330" s="8"/>
      <c r="C330" s="8"/>
      <c r="D330" s="8"/>
      <c r="E330" s="9"/>
      <c r="F330" s="13" t="str">
        <f aca="false">IF(A330="","",MONTH(A330))</f>
        <v/>
      </c>
    </row>
    <row r="331" customFormat="false" ht="15" hidden="false" customHeight="false" outlineLevel="0" collapsed="false">
      <c r="A331" s="12"/>
      <c r="B331" s="8"/>
      <c r="C331" s="8"/>
      <c r="D331" s="8"/>
      <c r="E331" s="9"/>
      <c r="F331" s="13" t="str">
        <f aca="false">IF(A331="","",MONTH(A331))</f>
        <v/>
      </c>
    </row>
    <row r="332" customFormat="false" ht="15" hidden="false" customHeight="false" outlineLevel="0" collapsed="false">
      <c r="A332" s="12"/>
      <c r="B332" s="8"/>
      <c r="C332" s="8"/>
      <c r="D332" s="8"/>
      <c r="E332" s="9"/>
      <c r="F332" s="13" t="str">
        <f aca="false">IF(A332="","",MONTH(A332))</f>
        <v/>
      </c>
    </row>
    <row r="333" customFormat="false" ht="15" hidden="false" customHeight="false" outlineLevel="0" collapsed="false">
      <c r="A333" s="12"/>
      <c r="B333" s="8"/>
      <c r="C333" s="8"/>
      <c r="D333" s="8"/>
      <c r="E333" s="9"/>
      <c r="F333" s="13" t="str">
        <f aca="false">IF(A333="","",MONTH(A333))</f>
        <v/>
      </c>
    </row>
    <row r="334" customFormat="false" ht="15" hidden="false" customHeight="false" outlineLevel="0" collapsed="false">
      <c r="A334" s="12"/>
      <c r="B334" s="8"/>
      <c r="C334" s="8"/>
      <c r="D334" s="8"/>
      <c r="E334" s="9"/>
      <c r="F334" s="13" t="str">
        <f aca="false">IF(A334="","",MONTH(A334))</f>
        <v/>
      </c>
    </row>
    <row r="335" customFormat="false" ht="15" hidden="false" customHeight="false" outlineLevel="0" collapsed="false">
      <c r="A335" s="12"/>
      <c r="B335" s="8"/>
      <c r="C335" s="8"/>
      <c r="D335" s="8"/>
      <c r="E335" s="9"/>
      <c r="F335" s="13" t="str">
        <f aca="false">IF(A335="","",MONTH(A335))</f>
        <v/>
      </c>
    </row>
    <row r="336" customFormat="false" ht="15" hidden="false" customHeight="false" outlineLevel="0" collapsed="false">
      <c r="A336" s="12"/>
      <c r="B336" s="8"/>
      <c r="C336" s="8"/>
      <c r="D336" s="8"/>
      <c r="E336" s="9"/>
      <c r="F336" s="13" t="str">
        <f aca="false">IF(A336="","",MONTH(A336))</f>
        <v/>
      </c>
    </row>
    <row r="337" customFormat="false" ht="15" hidden="false" customHeight="false" outlineLevel="0" collapsed="false">
      <c r="A337" s="12"/>
      <c r="B337" s="8"/>
      <c r="C337" s="8"/>
      <c r="D337" s="8"/>
      <c r="E337" s="9"/>
      <c r="F337" s="13" t="str">
        <f aca="false">IF(A337="","",MONTH(A337))</f>
        <v/>
      </c>
    </row>
    <row r="338" customFormat="false" ht="15" hidden="false" customHeight="false" outlineLevel="0" collapsed="false">
      <c r="A338" s="12"/>
      <c r="B338" s="8"/>
      <c r="C338" s="8"/>
      <c r="D338" s="8"/>
      <c r="E338" s="9"/>
      <c r="F338" s="13" t="str">
        <f aca="false">IF(A338="","",MONTH(A338))</f>
        <v/>
      </c>
    </row>
    <row r="339" customFormat="false" ht="15" hidden="false" customHeight="false" outlineLevel="0" collapsed="false">
      <c r="A339" s="12"/>
      <c r="B339" s="8"/>
      <c r="C339" s="8"/>
      <c r="D339" s="8"/>
      <c r="E339" s="9"/>
      <c r="F339" s="13" t="str">
        <f aca="false">IF(A339="","",MONTH(A339))</f>
        <v/>
      </c>
    </row>
    <row r="340" customFormat="false" ht="15" hidden="false" customHeight="false" outlineLevel="0" collapsed="false">
      <c r="A340" s="12"/>
      <c r="B340" s="8"/>
      <c r="C340" s="8"/>
      <c r="D340" s="8"/>
      <c r="E340" s="9"/>
      <c r="F340" s="13" t="str">
        <f aca="false">IF(A340="","",MONTH(A340))</f>
        <v/>
      </c>
    </row>
    <row r="341" customFormat="false" ht="15" hidden="false" customHeight="false" outlineLevel="0" collapsed="false">
      <c r="A341" s="12"/>
      <c r="B341" s="8"/>
      <c r="C341" s="8"/>
      <c r="D341" s="8"/>
      <c r="E341" s="9"/>
      <c r="F341" s="13" t="str">
        <f aca="false">IF(A341="","",MONTH(A341))</f>
        <v/>
      </c>
    </row>
    <row r="342" customFormat="false" ht="15" hidden="false" customHeight="false" outlineLevel="0" collapsed="false">
      <c r="A342" s="12"/>
      <c r="B342" s="8"/>
      <c r="C342" s="8"/>
      <c r="D342" s="8"/>
      <c r="E342" s="9"/>
      <c r="F342" s="13" t="str">
        <f aca="false">IF(A342="","",MONTH(A342))</f>
        <v/>
      </c>
    </row>
    <row r="343" customFormat="false" ht="15" hidden="false" customHeight="false" outlineLevel="0" collapsed="false">
      <c r="A343" s="12"/>
      <c r="B343" s="8"/>
      <c r="C343" s="8"/>
      <c r="D343" s="8"/>
      <c r="E343" s="9"/>
      <c r="F343" s="13" t="str">
        <f aca="false">IF(A343="","",MONTH(A343))</f>
        <v/>
      </c>
    </row>
    <row r="344" customFormat="false" ht="15" hidden="false" customHeight="false" outlineLevel="0" collapsed="false">
      <c r="A344" s="12"/>
      <c r="B344" s="8"/>
      <c r="C344" s="8"/>
      <c r="D344" s="8"/>
      <c r="E344" s="9"/>
      <c r="F344" s="13" t="str">
        <f aca="false">IF(A344="","",MONTH(A344))</f>
        <v/>
      </c>
    </row>
    <row r="345" customFormat="false" ht="15" hidden="false" customHeight="false" outlineLevel="0" collapsed="false">
      <c r="A345" s="12"/>
      <c r="B345" s="8"/>
      <c r="C345" s="8"/>
      <c r="D345" s="8"/>
      <c r="E345" s="9"/>
      <c r="F345" s="13" t="str">
        <f aca="false">IF(A345="","",MONTH(A345))</f>
        <v/>
      </c>
    </row>
    <row r="346" customFormat="false" ht="15" hidden="false" customHeight="false" outlineLevel="0" collapsed="false">
      <c r="A346" s="12"/>
      <c r="B346" s="8"/>
      <c r="C346" s="8"/>
      <c r="D346" s="8"/>
      <c r="E346" s="9"/>
      <c r="F346" s="13" t="str">
        <f aca="false">IF(A346="","",MONTH(A346))</f>
        <v/>
      </c>
    </row>
    <row r="347" customFormat="false" ht="15" hidden="false" customHeight="false" outlineLevel="0" collapsed="false">
      <c r="A347" s="12"/>
      <c r="B347" s="8"/>
      <c r="C347" s="8"/>
      <c r="D347" s="8"/>
      <c r="E347" s="9"/>
      <c r="F347" s="13" t="str">
        <f aca="false">IF(A347="","",MONTH(A347))</f>
        <v/>
      </c>
    </row>
    <row r="348" customFormat="false" ht="15" hidden="false" customHeight="false" outlineLevel="0" collapsed="false">
      <c r="A348" s="12"/>
      <c r="B348" s="8"/>
      <c r="C348" s="8"/>
      <c r="D348" s="8"/>
      <c r="E348" s="9"/>
      <c r="F348" s="13" t="str">
        <f aca="false">IF(A348="","",MONTH(A348))</f>
        <v/>
      </c>
    </row>
    <row r="349" customFormat="false" ht="15" hidden="false" customHeight="false" outlineLevel="0" collapsed="false">
      <c r="A349" s="12"/>
      <c r="B349" s="8"/>
      <c r="C349" s="8"/>
      <c r="D349" s="8"/>
      <c r="E349" s="9"/>
      <c r="F349" s="13" t="str">
        <f aca="false">IF(A349="","",MONTH(A349))</f>
        <v/>
      </c>
    </row>
    <row r="350" customFormat="false" ht="15" hidden="false" customHeight="false" outlineLevel="0" collapsed="false">
      <c r="A350" s="12"/>
      <c r="B350" s="8"/>
      <c r="C350" s="8"/>
      <c r="D350" s="8"/>
      <c r="E350" s="9"/>
      <c r="F350" s="13" t="str">
        <f aca="false">IF(A350="","",MONTH(A350))</f>
        <v/>
      </c>
    </row>
    <row r="351" customFormat="false" ht="15" hidden="false" customHeight="false" outlineLevel="0" collapsed="false">
      <c r="A351" s="12"/>
      <c r="B351" s="8"/>
      <c r="C351" s="8"/>
      <c r="D351" s="8"/>
      <c r="E351" s="9"/>
      <c r="F351" s="13" t="str">
        <f aca="false">IF(A351="","",MONTH(A351))</f>
        <v/>
      </c>
    </row>
    <row r="352" customFormat="false" ht="15" hidden="false" customHeight="false" outlineLevel="0" collapsed="false">
      <c r="A352" s="12"/>
      <c r="B352" s="8"/>
      <c r="C352" s="8"/>
      <c r="D352" s="8"/>
      <c r="E352" s="9"/>
      <c r="F352" s="13" t="str">
        <f aca="false">IF(A352="","",MONTH(A352))</f>
        <v/>
      </c>
    </row>
    <row r="353" customFormat="false" ht="15" hidden="false" customHeight="false" outlineLevel="0" collapsed="false">
      <c r="A353" s="12"/>
      <c r="B353" s="8"/>
      <c r="C353" s="8"/>
      <c r="D353" s="8"/>
      <c r="E353" s="9"/>
      <c r="F353" s="13" t="str">
        <f aca="false">IF(A353="","",MONTH(A353))</f>
        <v/>
      </c>
    </row>
    <row r="354" customFormat="false" ht="15" hidden="false" customHeight="false" outlineLevel="0" collapsed="false">
      <c r="A354" s="12"/>
      <c r="B354" s="8"/>
      <c r="C354" s="8"/>
      <c r="D354" s="8"/>
      <c r="E354" s="9"/>
      <c r="F354" s="13" t="str">
        <f aca="false">IF(A354="","",MONTH(A354))</f>
        <v/>
      </c>
    </row>
    <row r="355" customFormat="false" ht="15" hidden="false" customHeight="false" outlineLevel="0" collapsed="false">
      <c r="A355" s="12"/>
      <c r="B355" s="8"/>
      <c r="C355" s="8"/>
      <c r="D355" s="8"/>
      <c r="E355" s="9"/>
      <c r="F355" s="13" t="str">
        <f aca="false">IF(A355="","",MONTH(A355))</f>
        <v/>
      </c>
    </row>
    <row r="356" customFormat="false" ht="15" hidden="false" customHeight="false" outlineLevel="0" collapsed="false">
      <c r="A356" s="12"/>
      <c r="B356" s="8"/>
      <c r="C356" s="8"/>
      <c r="D356" s="8"/>
      <c r="E356" s="9"/>
      <c r="F356" s="13" t="str">
        <f aca="false">IF(A356="","",MONTH(A356))</f>
        <v/>
      </c>
    </row>
    <row r="357" customFormat="false" ht="15" hidden="false" customHeight="false" outlineLevel="0" collapsed="false">
      <c r="A357" s="12"/>
      <c r="B357" s="8"/>
      <c r="C357" s="8"/>
      <c r="D357" s="8"/>
      <c r="E357" s="9"/>
      <c r="F357" s="13" t="str">
        <f aca="false">IF(A357="","",MONTH(A357))</f>
        <v/>
      </c>
    </row>
    <row r="358" customFormat="false" ht="15" hidden="false" customHeight="false" outlineLevel="0" collapsed="false">
      <c r="A358" s="12"/>
      <c r="B358" s="8"/>
      <c r="C358" s="8"/>
      <c r="D358" s="8"/>
      <c r="E358" s="9"/>
      <c r="F358" s="13" t="str">
        <f aca="false">IF(A358="","",MONTH(A358))</f>
        <v/>
      </c>
    </row>
    <row r="359" customFormat="false" ht="15" hidden="false" customHeight="false" outlineLevel="0" collapsed="false">
      <c r="A359" s="12"/>
      <c r="B359" s="8"/>
      <c r="C359" s="8"/>
      <c r="D359" s="8"/>
      <c r="E359" s="9"/>
      <c r="F359" s="13" t="str">
        <f aca="false">IF(A359="","",MONTH(A359))</f>
        <v/>
      </c>
    </row>
    <row r="360" customFormat="false" ht="15" hidden="false" customHeight="false" outlineLevel="0" collapsed="false">
      <c r="A360" s="12"/>
      <c r="B360" s="8"/>
      <c r="C360" s="8"/>
      <c r="D360" s="8"/>
      <c r="E360" s="9"/>
      <c r="F360" s="13" t="str">
        <f aca="false">IF(A360="","",MONTH(A360))</f>
        <v/>
      </c>
    </row>
    <row r="361" customFormat="false" ht="15" hidden="false" customHeight="false" outlineLevel="0" collapsed="false">
      <c r="A361" s="12"/>
      <c r="B361" s="8"/>
      <c r="C361" s="8"/>
      <c r="D361" s="8"/>
      <c r="E361" s="9"/>
      <c r="F361" s="13" t="str">
        <f aca="false">IF(A361="","",MONTH(A361))</f>
        <v/>
      </c>
    </row>
    <row r="362" customFormat="false" ht="15" hidden="false" customHeight="false" outlineLevel="0" collapsed="false">
      <c r="A362" s="12"/>
      <c r="B362" s="8"/>
      <c r="C362" s="8"/>
      <c r="D362" s="8"/>
      <c r="E362" s="9"/>
      <c r="F362" s="13" t="str">
        <f aca="false">IF(A362="","",MONTH(A362))</f>
        <v/>
      </c>
    </row>
    <row r="363" customFormat="false" ht="15" hidden="false" customHeight="false" outlineLevel="0" collapsed="false">
      <c r="A363" s="12"/>
      <c r="B363" s="8"/>
      <c r="C363" s="8"/>
      <c r="D363" s="8"/>
      <c r="E363" s="9"/>
      <c r="F363" s="13" t="str">
        <f aca="false">IF(A363="","",MONTH(A363))</f>
        <v/>
      </c>
    </row>
    <row r="364" customFormat="false" ht="15" hidden="false" customHeight="false" outlineLevel="0" collapsed="false">
      <c r="A364" s="12"/>
      <c r="B364" s="8"/>
      <c r="C364" s="8"/>
      <c r="D364" s="8"/>
      <c r="E364" s="9"/>
      <c r="F364" s="13" t="str">
        <f aca="false">IF(A364="","",MONTH(A364))</f>
        <v/>
      </c>
    </row>
    <row r="365" customFormat="false" ht="15" hidden="false" customHeight="false" outlineLevel="0" collapsed="false">
      <c r="A365" s="12"/>
      <c r="B365" s="8"/>
      <c r="C365" s="8"/>
      <c r="D365" s="8"/>
      <c r="E365" s="9"/>
      <c r="F365" s="13" t="str">
        <f aca="false">IF(A365="","",MONTH(A365))</f>
        <v/>
      </c>
    </row>
    <row r="366" customFormat="false" ht="15" hidden="false" customHeight="false" outlineLevel="0" collapsed="false">
      <c r="A366" s="12"/>
      <c r="B366" s="8"/>
      <c r="C366" s="8"/>
      <c r="D366" s="8"/>
      <c r="E366" s="9"/>
      <c r="F366" s="13" t="str">
        <f aca="false">IF(A366="","",MONTH(A366))</f>
        <v/>
      </c>
    </row>
    <row r="367" customFormat="false" ht="15" hidden="false" customHeight="false" outlineLevel="0" collapsed="false">
      <c r="A367" s="12"/>
      <c r="B367" s="8"/>
      <c r="C367" s="8"/>
      <c r="D367" s="8"/>
      <c r="E367" s="9"/>
      <c r="F367" s="13" t="str">
        <f aca="false">IF(A367="","",MONTH(A367))</f>
        <v/>
      </c>
    </row>
    <row r="368" customFormat="false" ht="15" hidden="false" customHeight="false" outlineLevel="0" collapsed="false">
      <c r="A368" s="12"/>
      <c r="B368" s="8"/>
      <c r="C368" s="8"/>
      <c r="D368" s="8"/>
      <c r="E368" s="9"/>
      <c r="F368" s="13" t="str">
        <f aca="false">IF(A368="","",MONTH(A368))</f>
        <v/>
      </c>
    </row>
    <row r="369" customFormat="false" ht="15" hidden="false" customHeight="false" outlineLevel="0" collapsed="false">
      <c r="A369" s="12"/>
      <c r="B369" s="8"/>
      <c r="C369" s="8"/>
      <c r="D369" s="8"/>
      <c r="E369" s="9"/>
      <c r="F369" s="13" t="str">
        <f aca="false">IF(A369="","",MONTH(A369))</f>
        <v/>
      </c>
    </row>
    <row r="370" customFormat="false" ht="15" hidden="false" customHeight="false" outlineLevel="0" collapsed="false">
      <c r="A370" s="12"/>
      <c r="B370" s="8"/>
      <c r="C370" s="8"/>
      <c r="D370" s="8"/>
      <c r="E370" s="9"/>
      <c r="F370" s="13" t="str">
        <f aca="false">IF(A370="","",MONTH(A370))</f>
        <v/>
      </c>
    </row>
    <row r="371" customFormat="false" ht="15" hidden="false" customHeight="false" outlineLevel="0" collapsed="false">
      <c r="A371" s="12"/>
      <c r="B371" s="8"/>
      <c r="C371" s="8"/>
      <c r="D371" s="8"/>
      <c r="E371" s="9"/>
      <c r="F371" s="13" t="str">
        <f aca="false">IF(A371="","",MONTH(A371))</f>
        <v/>
      </c>
    </row>
    <row r="372" customFormat="false" ht="15" hidden="false" customHeight="false" outlineLevel="0" collapsed="false">
      <c r="A372" s="12"/>
      <c r="B372" s="8"/>
      <c r="C372" s="8"/>
      <c r="D372" s="8"/>
      <c r="E372" s="9"/>
      <c r="F372" s="13" t="str">
        <f aca="false">IF(A372="","",MONTH(A372))</f>
        <v/>
      </c>
    </row>
    <row r="373" customFormat="false" ht="15" hidden="false" customHeight="false" outlineLevel="0" collapsed="false">
      <c r="A373" s="12"/>
      <c r="B373" s="8"/>
      <c r="C373" s="8"/>
      <c r="D373" s="8"/>
      <c r="E373" s="9"/>
      <c r="F373" s="13" t="str">
        <f aca="false">IF(A373="","",MONTH(A373))</f>
        <v/>
      </c>
    </row>
    <row r="374" customFormat="false" ht="15" hidden="false" customHeight="false" outlineLevel="0" collapsed="false">
      <c r="A374" s="12"/>
      <c r="B374" s="8"/>
      <c r="C374" s="8"/>
      <c r="D374" s="8"/>
      <c r="E374" s="9"/>
      <c r="F374" s="13" t="str">
        <f aca="false">IF(A374="","",MONTH(A374))</f>
        <v/>
      </c>
    </row>
    <row r="375" customFormat="false" ht="15" hidden="false" customHeight="false" outlineLevel="0" collapsed="false">
      <c r="A375" s="12"/>
      <c r="B375" s="8"/>
      <c r="C375" s="8"/>
      <c r="D375" s="8"/>
      <c r="E375" s="9"/>
      <c r="F375" s="13" t="str">
        <f aca="false">IF(A375="","",MONTH(A375))</f>
        <v/>
      </c>
    </row>
    <row r="376" customFormat="false" ht="15" hidden="false" customHeight="false" outlineLevel="0" collapsed="false">
      <c r="A376" s="12"/>
      <c r="B376" s="8"/>
      <c r="C376" s="8"/>
      <c r="D376" s="8"/>
      <c r="E376" s="9"/>
      <c r="F376" s="13" t="str">
        <f aca="false">IF(A376="","",MONTH(A376))</f>
        <v/>
      </c>
    </row>
    <row r="377" customFormat="false" ht="15" hidden="false" customHeight="false" outlineLevel="0" collapsed="false">
      <c r="A377" s="12"/>
      <c r="B377" s="8"/>
      <c r="C377" s="8"/>
      <c r="D377" s="8"/>
      <c r="E377" s="9"/>
      <c r="F377" s="13" t="str">
        <f aca="false">IF(A377="","",MONTH(A377))</f>
        <v/>
      </c>
    </row>
    <row r="378" customFormat="false" ht="15" hidden="false" customHeight="false" outlineLevel="0" collapsed="false">
      <c r="A378" s="12"/>
      <c r="B378" s="8"/>
      <c r="C378" s="8"/>
      <c r="D378" s="8"/>
      <c r="E378" s="9"/>
      <c r="F378" s="13" t="str">
        <f aca="false">IF(A378="","",MONTH(A378))</f>
        <v/>
      </c>
    </row>
    <row r="379" customFormat="false" ht="15" hidden="false" customHeight="false" outlineLevel="0" collapsed="false">
      <c r="A379" s="12"/>
      <c r="B379" s="8"/>
      <c r="C379" s="8"/>
      <c r="D379" s="8"/>
      <c r="E379" s="9"/>
      <c r="F379" s="13" t="str">
        <f aca="false">IF(A379="","",MONTH(A379))</f>
        <v/>
      </c>
    </row>
    <row r="380" customFormat="false" ht="15" hidden="false" customHeight="false" outlineLevel="0" collapsed="false">
      <c r="A380" s="12"/>
      <c r="B380" s="8"/>
      <c r="C380" s="8"/>
      <c r="D380" s="8"/>
      <c r="E380" s="9"/>
      <c r="F380" s="13" t="str">
        <f aca="false">IF(A380="","",MONTH(A380))</f>
        <v/>
      </c>
    </row>
    <row r="381" customFormat="false" ht="15" hidden="false" customHeight="false" outlineLevel="0" collapsed="false">
      <c r="A381" s="12"/>
      <c r="B381" s="8"/>
      <c r="C381" s="8"/>
      <c r="D381" s="8"/>
      <c r="E381" s="9"/>
      <c r="F381" s="13" t="str">
        <f aca="false">IF(A381="","",MONTH(A381))</f>
        <v/>
      </c>
    </row>
    <row r="382" customFormat="false" ht="15" hidden="false" customHeight="false" outlineLevel="0" collapsed="false">
      <c r="A382" s="12"/>
      <c r="B382" s="8"/>
      <c r="C382" s="8"/>
      <c r="D382" s="8"/>
      <c r="E382" s="9"/>
      <c r="F382" s="13" t="str">
        <f aca="false">IF(A382="","",MONTH(A382))</f>
        <v/>
      </c>
    </row>
    <row r="383" customFormat="false" ht="15" hidden="false" customHeight="false" outlineLevel="0" collapsed="false">
      <c r="A383" s="12"/>
      <c r="B383" s="8"/>
      <c r="C383" s="8"/>
      <c r="D383" s="8"/>
      <c r="E383" s="9"/>
      <c r="F383" s="13" t="str">
        <f aca="false">IF(A383="","",MONTH(A383))</f>
        <v/>
      </c>
    </row>
    <row r="384" customFormat="false" ht="15" hidden="false" customHeight="false" outlineLevel="0" collapsed="false">
      <c r="A384" s="12"/>
      <c r="B384" s="8"/>
      <c r="C384" s="8"/>
      <c r="D384" s="8"/>
      <c r="E384" s="9"/>
      <c r="F384" s="13" t="str">
        <f aca="false">IF(A384="","",MONTH(A384))</f>
        <v/>
      </c>
    </row>
    <row r="385" customFormat="false" ht="15" hidden="false" customHeight="false" outlineLevel="0" collapsed="false">
      <c r="A385" s="12"/>
      <c r="B385" s="8"/>
      <c r="C385" s="8"/>
      <c r="D385" s="8"/>
      <c r="E385" s="9"/>
      <c r="F385" s="13" t="str">
        <f aca="false">IF(A385="","",MONTH(A385))</f>
        <v/>
      </c>
    </row>
    <row r="386" customFormat="false" ht="15" hidden="false" customHeight="false" outlineLevel="0" collapsed="false">
      <c r="A386" s="12"/>
      <c r="B386" s="8"/>
      <c r="C386" s="8"/>
      <c r="D386" s="8"/>
      <c r="E386" s="9"/>
      <c r="F386" s="13" t="str">
        <f aca="false">IF(A386="","",MONTH(A386))</f>
        <v/>
      </c>
    </row>
    <row r="387" customFormat="false" ht="15" hidden="false" customHeight="false" outlineLevel="0" collapsed="false">
      <c r="A387" s="12"/>
      <c r="B387" s="8"/>
      <c r="C387" s="8"/>
      <c r="D387" s="8"/>
      <c r="E387" s="9"/>
      <c r="F387" s="13" t="str">
        <f aca="false">IF(A387="","",MONTH(A387))</f>
        <v/>
      </c>
    </row>
    <row r="388" customFormat="false" ht="15" hidden="false" customHeight="false" outlineLevel="0" collapsed="false">
      <c r="A388" s="12"/>
      <c r="B388" s="8"/>
      <c r="C388" s="8"/>
      <c r="D388" s="8"/>
      <c r="E388" s="9"/>
      <c r="F388" s="13" t="str">
        <f aca="false">IF(A388="","",MONTH(A388))</f>
        <v/>
      </c>
    </row>
    <row r="389" customFormat="false" ht="15" hidden="false" customHeight="false" outlineLevel="0" collapsed="false">
      <c r="A389" s="12"/>
      <c r="B389" s="8"/>
      <c r="C389" s="8"/>
      <c r="D389" s="8"/>
      <c r="E389" s="9"/>
      <c r="F389" s="13" t="str">
        <f aca="false">IF(A389="","",MONTH(A389))</f>
        <v/>
      </c>
    </row>
    <row r="390" customFormat="false" ht="15" hidden="false" customHeight="false" outlineLevel="0" collapsed="false">
      <c r="A390" s="12"/>
      <c r="B390" s="8"/>
      <c r="C390" s="8"/>
      <c r="D390" s="8"/>
      <c r="E390" s="9"/>
      <c r="F390" s="13" t="str">
        <f aca="false">IF(A390="","",MONTH(A390))</f>
        <v/>
      </c>
    </row>
    <row r="391" customFormat="false" ht="15" hidden="false" customHeight="false" outlineLevel="0" collapsed="false">
      <c r="A391" s="12"/>
      <c r="B391" s="8"/>
      <c r="C391" s="8"/>
      <c r="D391" s="8"/>
      <c r="E391" s="9"/>
      <c r="F391" s="13" t="str">
        <f aca="false">IF(A391="","",MONTH(A391))</f>
        <v/>
      </c>
    </row>
    <row r="392" customFormat="false" ht="15" hidden="false" customHeight="false" outlineLevel="0" collapsed="false">
      <c r="A392" s="12"/>
      <c r="B392" s="8"/>
      <c r="C392" s="8"/>
      <c r="D392" s="8"/>
      <c r="E392" s="9"/>
      <c r="F392" s="13" t="str">
        <f aca="false">IF(A392="","",MONTH(A392))</f>
        <v/>
      </c>
    </row>
    <row r="393" customFormat="false" ht="15" hidden="false" customHeight="false" outlineLevel="0" collapsed="false">
      <c r="A393" s="12"/>
      <c r="B393" s="8"/>
      <c r="C393" s="8"/>
      <c r="D393" s="8"/>
      <c r="E393" s="9"/>
      <c r="F393" s="13" t="str">
        <f aca="false">IF(A393="","",MONTH(A393))</f>
        <v/>
      </c>
    </row>
    <row r="394" customFormat="false" ht="15" hidden="false" customHeight="false" outlineLevel="0" collapsed="false">
      <c r="A394" s="12"/>
      <c r="B394" s="8"/>
      <c r="C394" s="8"/>
      <c r="D394" s="8"/>
      <c r="E394" s="9"/>
      <c r="F394" s="13" t="str">
        <f aca="false">IF(A394="","",MONTH(A394))</f>
        <v/>
      </c>
    </row>
    <row r="395" customFormat="false" ht="15" hidden="false" customHeight="false" outlineLevel="0" collapsed="false">
      <c r="A395" s="12"/>
      <c r="B395" s="8"/>
      <c r="C395" s="8"/>
      <c r="D395" s="8"/>
      <c r="E395" s="9"/>
      <c r="F395" s="13" t="str">
        <f aca="false">IF(A395="","",MONTH(A395))</f>
        <v/>
      </c>
    </row>
    <row r="396" customFormat="false" ht="15" hidden="false" customHeight="false" outlineLevel="0" collapsed="false">
      <c r="A396" s="12"/>
      <c r="B396" s="8"/>
      <c r="C396" s="8"/>
      <c r="D396" s="8"/>
      <c r="E396" s="9"/>
      <c r="F396" s="13" t="str">
        <f aca="false">IF(A396="","",MONTH(A396))</f>
        <v/>
      </c>
    </row>
    <row r="397" customFormat="false" ht="15" hidden="false" customHeight="false" outlineLevel="0" collapsed="false">
      <c r="A397" s="12"/>
      <c r="B397" s="8"/>
      <c r="C397" s="8"/>
      <c r="D397" s="8"/>
      <c r="E397" s="9"/>
      <c r="F397" s="13" t="str">
        <f aca="false">IF(A397="","",MONTH(A397))</f>
        <v/>
      </c>
    </row>
    <row r="398" customFormat="false" ht="15" hidden="false" customHeight="false" outlineLevel="0" collapsed="false">
      <c r="A398" s="12"/>
      <c r="B398" s="8"/>
      <c r="C398" s="8"/>
      <c r="D398" s="8"/>
      <c r="E398" s="9"/>
      <c r="F398" s="13" t="str">
        <f aca="false">IF(A398="","",MONTH(A398))</f>
        <v/>
      </c>
    </row>
    <row r="399" customFormat="false" ht="15" hidden="false" customHeight="false" outlineLevel="0" collapsed="false">
      <c r="A399" s="12"/>
      <c r="B399" s="8"/>
      <c r="C399" s="8"/>
      <c r="D399" s="8"/>
      <c r="E399" s="9"/>
      <c r="F399" s="13" t="str">
        <f aca="false">IF(A399="","",MONTH(A399))</f>
        <v/>
      </c>
    </row>
    <row r="400" customFormat="false" ht="15" hidden="false" customHeight="false" outlineLevel="0" collapsed="false">
      <c r="A400" s="12"/>
      <c r="B400" s="8"/>
      <c r="C400" s="8"/>
      <c r="D400" s="8"/>
      <c r="E400" s="9"/>
      <c r="F400" s="13" t="str">
        <f aca="false">IF(A400="","",MONTH(A400))</f>
        <v/>
      </c>
    </row>
    <row r="401" customFormat="false" ht="15" hidden="false" customHeight="false" outlineLevel="0" collapsed="false">
      <c r="A401" s="12"/>
      <c r="B401" s="8"/>
      <c r="C401" s="8"/>
      <c r="D401" s="8"/>
      <c r="E401" s="9"/>
      <c r="F401" s="13" t="str">
        <f aca="false">IF(A401="","",MONTH(A401))</f>
        <v/>
      </c>
    </row>
    <row r="402" customFormat="false" ht="15" hidden="false" customHeight="false" outlineLevel="0" collapsed="false">
      <c r="A402" s="12"/>
      <c r="B402" s="8"/>
      <c r="C402" s="8"/>
      <c r="D402" s="8"/>
      <c r="E402" s="9"/>
      <c r="F402" s="13" t="str">
        <f aca="false">IF(A402="","",MONTH(A402))</f>
        <v/>
      </c>
    </row>
    <row r="403" customFormat="false" ht="15" hidden="false" customHeight="false" outlineLevel="0" collapsed="false">
      <c r="A403" s="12"/>
      <c r="B403" s="8"/>
      <c r="C403" s="8"/>
      <c r="D403" s="8"/>
      <c r="E403" s="9"/>
      <c r="F403" s="13" t="str">
        <f aca="false">IF(A403="","",MONTH(A403))</f>
        <v/>
      </c>
    </row>
    <row r="404" customFormat="false" ht="15" hidden="false" customHeight="false" outlineLevel="0" collapsed="false">
      <c r="A404" s="12"/>
      <c r="B404" s="8"/>
      <c r="C404" s="8"/>
      <c r="D404" s="8"/>
      <c r="E404" s="9"/>
      <c r="F404" s="13" t="str">
        <f aca="false">IF(A404="","",MONTH(A404))</f>
        <v/>
      </c>
    </row>
    <row r="405" customFormat="false" ht="15" hidden="false" customHeight="false" outlineLevel="0" collapsed="false">
      <c r="A405" s="12"/>
      <c r="B405" s="8"/>
      <c r="C405" s="8"/>
      <c r="D405" s="8"/>
      <c r="E405" s="9"/>
      <c r="F405" s="13" t="str">
        <f aca="false">IF(A405="","",MONTH(A405))</f>
        <v/>
      </c>
    </row>
    <row r="406" customFormat="false" ht="15" hidden="false" customHeight="false" outlineLevel="0" collapsed="false">
      <c r="A406" s="12"/>
      <c r="B406" s="8"/>
      <c r="C406" s="8"/>
      <c r="D406" s="8"/>
      <c r="E406" s="9"/>
      <c r="F406" s="13" t="str">
        <f aca="false">IF(A406="","",MONTH(A406))</f>
        <v/>
      </c>
    </row>
    <row r="407" customFormat="false" ht="15" hidden="false" customHeight="false" outlineLevel="0" collapsed="false">
      <c r="A407" s="12"/>
      <c r="B407" s="8"/>
      <c r="C407" s="8"/>
      <c r="D407" s="8"/>
      <c r="E407" s="9"/>
      <c r="F407" s="13" t="str">
        <f aca="false">IF(A407="","",MONTH(A407))</f>
        <v/>
      </c>
    </row>
    <row r="408" customFormat="false" ht="15" hidden="false" customHeight="false" outlineLevel="0" collapsed="false">
      <c r="A408" s="12"/>
      <c r="B408" s="8"/>
      <c r="C408" s="8"/>
      <c r="D408" s="8"/>
      <c r="E408" s="9"/>
      <c r="F408" s="13" t="str">
        <f aca="false">IF(A408="","",MONTH(A408))</f>
        <v/>
      </c>
    </row>
    <row r="409" customFormat="false" ht="15" hidden="false" customHeight="false" outlineLevel="0" collapsed="false">
      <c r="A409" s="12"/>
      <c r="B409" s="8"/>
      <c r="C409" s="8"/>
      <c r="D409" s="8"/>
      <c r="E409" s="9"/>
      <c r="F409" s="13" t="str">
        <f aca="false">IF(A409="","",MONTH(A409))</f>
        <v/>
      </c>
    </row>
    <row r="410" customFormat="false" ht="15" hidden="false" customHeight="false" outlineLevel="0" collapsed="false">
      <c r="A410" s="12"/>
      <c r="B410" s="8"/>
      <c r="C410" s="8"/>
      <c r="D410" s="8"/>
      <c r="E410" s="9"/>
      <c r="F410" s="13" t="str">
        <f aca="false">IF(A410="","",MONTH(A410))</f>
        <v/>
      </c>
    </row>
    <row r="411" customFormat="false" ht="15" hidden="false" customHeight="false" outlineLevel="0" collapsed="false">
      <c r="A411" s="12"/>
      <c r="B411" s="8"/>
      <c r="C411" s="8"/>
      <c r="D411" s="8"/>
      <c r="E411" s="9"/>
      <c r="F411" s="13" t="str">
        <f aca="false">IF(A411="","",MONTH(A411))</f>
        <v/>
      </c>
    </row>
    <row r="412" customFormat="false" ht="15" hidden="false" customHeight="false" outlineLevel="0" collapsed="false">
      <c r="A412" s="12"/>
      <c r="B412" s="8"/>
      <c r="C412" s="8"/>
      <c r="D412" s="8"/>
      <c r="E412" s="9"/>
      <c r="F412" s="13" t="str">
        <f aca="false">IF(A412="","",MONTH(A412))</f>
        <v/>
      </c>
    </row>
    <row r="413" customFormat="false" ht="15" hidden="false" customHeight="false" outlineLevel="0" collapsed="false">
      <c r="A413" s="12"/>
      <c r="B413" s="8"/>
      <c r="C413" s="8"/>
      <c r="D413" s="8"/>
      <c r="E413" s="9"/>
      <c r="F413" s="13" t="str">
        <f aca="false">IF(A413="","",MONTH(A413))</f>
        <v/>
      </c>
    </row>
    <row r="414" customFormat="false" ht="15" hidden="false" customHeight="false" outlineLevel="0" collapsed="false">
      <c r="A414" s="12"/>
      <c r="B414" s="8"/>
      <c r="C414" s="8"/>
      <c r="D414" s="8"/>
      <c r="E414" s="9"/>
      <c r="F414" s="13" t="str">
        <f aca="false">IF(A414="","",MONTH(A414))</f>
        <v/>
      </c>
    </row>
    <row r="415" customFormat="false" ht="15" hidden="false" customHeight="false" outlineLevel="0" collapsed="false">
      <c r="A415" s="12"/>
      <c r="B415" s="8"/>
      <c r="C415" s="8"/>
      <c r="D415" s="8"/>
      <c r="E415" s="9"/>
      <c r="F415" s="13" t="str">
        <f aca="false">IF(A415="","",MONTH(A415))</f>
        <v/>
      </c>
    </row>
    <row r="416" customFormat="false" ht="15" hidden="false" customHeight="false" outlineLevel="0" collapsed="false">
      <c r="A416" s="12"/>
      <c r="B416" s="8"/>
      <c r="C416" s="8"/>
      <c r="D416" s="8"/>
      <c r="E416" s="9"/>
      <c r="F416" s="13" t="str">
        <f aca="false">IF(A416="","",MONTH(A416))</f>
        <v/>
      </c>
    </row>
    <row r="417" customFormat="false" ht="15" hidden="false" customHeight="false" outlineLevel="0" collapsed="false">
      <c r="A417" s="12"/>
      <c r="B417" s="8"/>
      <c r="C417" s="8"/>
      <c r="D417" s="8"/>
      <c r="E417" s="9"/>
      <c r="F417" s="13" t="str">
        <f aca="false">IF(A417="","",MONTH(A417))</f>
        <v/>
      </c>
    </row>
    <row r="418" customFormat="false" ht="15" hidden="false" customHeight="false" outlineLevel="0" collapsed="false">
      <c r="A418" s="12"/>
      <c r="B418" s="8"/>
      <c r="C418" s="8"/>
      <c r="D418" s="8"/>
      <c r="E418" s="9"/>
      <c r="F418" s="13" t="str">
        <f aca="false">IF(A418="","",MONTH(A418))</f>
        <v/>
      </c>
    </row>
    <row r="419" customFormat="false" ht="15" hidden="false" customHeight="false" outlineLevel="0" collapsed="false">
      <c r="A419" s="12"/>
      <c r="B419" s="8"/>
      <c r="C419" s="8"/>
      <c r="D419" s="8"/>
      <c r="E419" s="9"/>
      <c r="F419" s="13" t="str">
        <f aca="false">IF(A419="","",MONTH(A419))</f>
        <v/>
      </c>
    </row>
    <row r="420" customFormat="false" ht="15" hidden="false" customHeight="false" outlineLevel="0" collapsed="false">
      <c r="A420" s="12"/>
      <c r="B420" s="8"/>
      <c r="C420" s="8"/>
      <c r="D420" s="8"/>
      <c r="E420" s="9"/>
      <c r="F420" s="13" t="str">
        <f aca="false">IF(A420="","",MONTH(A420))</f>
        <v/>
      </c>
    </row>
    <row r="421" customFormat="false" ht="15" hidden="false" customHeight="false" outlineLevel="0" collapsed="false">
      <c r="A421" s="12"/>
      <c r="B421" s="8"/>
      <c r="C421" s="8"/>
      <c r="D421" s="8"/>
      <c r="E421" s="9"/>
      <c r="F421" s="13" t="str">
        <f aca="false">IF(A421="","",MONTH(A421))</f>
        <v/>
      </c>
    </row>
    <row r="422" customFormat="false" ht="15" hidden="false" customHeight="false" outlineLevel="0" collapsed="false">
      <c r="A422" s="12"/>
      <c r="B422" s="8"/>
      <c r="C422" s="8"/>
      <c r="D422" s="8"/>
      <c r="E422" s="9"/>
      <c r="F422" s="13" t="str">
        <f aca="false">IF(A422="","",MONTH(A422))</f>
        <v/>
      </c>
    </row>
    <row r="423" customFormat="false" ht="15" hidden="false" customHeight="false" outlineLevel="0" collapsed="false">
      <c r="A423" s="12"/>
      <c r="B423" s="8"/>
      <c r="C423" s="8"/>
      <c r="D423" s="8"/>
      <c r="E423" s="9"/>
      <c r="F423" s="13" t="str">
        <f aca="false">IF(A423="","",MONTH(A423))</f>
        <v/>
      </c>
    </row>
    <row r="424" customFormat="false" ht="15" hidden="false" customHeight="false" outlineLevel="0" collapsed="false">
      <c r="A424" s="12"/>
      <c r="B424" s="8"/>
      <c r="C424" s="8"/>
      <c r="D424" s="8"/>
      <c r="E424" s="9"/>
      <c r="F424" s="13" t="str">
        <f aca="false">IF(A424="","",MONTH(A424))</f>
        <v/>
      </c>
    </row>
    <row r="425" customFormat="false" ht="15" hidden="false" customHeight="false" outlineLevel="0" collapsed="false">
      <c r="A425" s="12"/>
      <c r="B425" s="8"/>
      <c r="C425" s="8"/>
      <c r="D425" s="8"/>
      <c r="E425" s="9"/>
      <c r="F425" s="13" t="str">
        <f aca="false">IF(A425="","",MONTH(A425))</f>
        <v/>
      </c>
    </row>
    <row r="426" customFormat="false" ht="15" hidden="false" customHeight="false" outlineLevel="0" collapsed="false">
      <c r="A426" s="12"/>
      <c r="B426" s="8"/>
      <c r="C426" s="8"/>
      <c r="D426" s="8"/>
      <c r="E426" s="9"/>
      <c r="F426" s="13" t="str">
        <f aca="false">IF(A426="","",MONTH(A426))</f>
        <v/>
      </c>
    </row>
    <row r="427" customFormat="false" ht="15" hidden="false" customHeight="false" outlineLevel="0" collapsed="false">
      <c r="A427" s="12"/>
      <c r="B427" s="8"/>
      <c r="C427" s="8"/>
      <c r="D427" s="8"/>
      <c r="E427" s="9"/>
      <c r="F427" s="13" t="str">
        <f aca="false">IF(A427="","",MONTH(A427))</f>
        <v/>
      </c>
    </row>
    <row r="428" customFormat="false" ht="15" hidden="false" customHeight="false" outlineLevel="0" collapsed="false">
      <c r="A428" s="12"/>
      <c r="B428" s="8"/>
      <c r="C428" s="8"/>
      <c r="D428" s="8"/>
      <c r="E428" s="9"/>
      <c r="F428" s="13" t="str">
        <f aca="false">IF(A428="","",MONTH(A428))</f>
        <v/>
      </c>
    </row>
    <row r="429" customFormat="false" ht="15" hidden="false" customHeight="false" outlineLevel="0" collapsed="false">
      <c r="A429" s="12"/>
      <c r="B429" s="8"/>
      <c r="C429" s="8"/>
      <c r="D429" s="8"/>
      <c r="E429" s="9"/>
      <c r="F429" s="13" t="str">
        <f aca="false">IF(A429="","",MONTH(A429))</f>
        <v/>
      </c>
    </row>
    <row r="430" customFormat="false" ht="15" hidden="false" customHeight="false" outlineLevel="0" collapsed="false">
      <c r="A430" s="12"/>
      <c r="B430" s="8"/>
      <c r="C430" s="8"/>
      <c r="D430" s="8"/>
      <c r="E430" s="9"/>
      <c r="F430" s="13" t="str">
        <f aca="false">IF(A430="","",MONTH(A430))</f>
        <v/>
      </c>
    </row>
    <row r="431" customFormat="false" ht="15" hidden="false" customHeight="false" outlineLevel="0" collapsed="false">
      <c r="A431" s="12"/>
      <c r="B431" s="8"/>
      <c r="C431" s="8"/>
      <c r="D431" s="8"/>
      <c r="E431" s="9"/>
      <c r="F431" s="13" t="str">
        <f aca="false">IF(A431="","",MONTH(A431))</f>
        <v/>
      </c>
    </row>
    <row r="432" customFormat="false" ht="15" hidden="false" customHeight="false" outlineLevel="0" collapsed="false">
      <c r="A432" s="12"/>
      <c r="B432" s="8"/>
      <c r="C432" s="8"/>
      <c r="D432" s="8"/>
      <c r="E432" s="9"/>
      <c r="F432" s="13" t="str">
        <f aca="false">IF(A432="","",MONTH(A432))</f>
        <v/>
      </c>
    </row>
    <row r="433" customFormat="false" ht="15" hidden="false" customHeight="false" outlineLevel="0" collapsed="false">
      <c r="A433" s="12"/>
      <c r="B433" s="8"/>
      <c r="C433" s="8"/>
      <c r="D433" s="8"/>
      <c r="E433" s="9"/>
      <c r="F433" s="13" t="str">
        <f aca="false">IF(A433="","",MONTH(A433))</f>
        <v/>
      </c>
    </row>
    <row r="434" customFormat="false" ht="15" hidden="false" customHeight="false" outlineLevel="0" collapsed="false">
      <c r="A434" s="12"/>
      <c r="B434" s="8"/>
      <c r="C434" s="8"/>
      <c r="D434" s="8"/>
      <c r="E434" s="9"/>
      <c r="F434" s="13" t="str">
        <f aca="false">IF(A434="","",MONTH(A434))</f>
        <v/>
      </c>
    </row>
    <row r="435" customFormat="false" ht="15" hidden="false" customHeight="false" outlineLevel="0" collapsed="false">
      <c r="A435" s="12"/>
      <c r="B435" s="8"/>
      <c r="C435" s="8"/>
      <c r="D435" s="8"/>
      <c r="E435" s="9"/>
      <c r="F435" s="13" t="str">
        <f aca="false">IF(A435="","",MONTH(A435))</f>
        <v/>
      </c>
    </row>
    <row r="436" customFormat="false" ht="15" hidden="false" customHeight="false" outlineLevel="0" collapsed="false">
      <c r="A436" s="12"/>
      <c r="B436" s="8"/>
      <c r="C436" s="8"/>
      <c r="D436" s="8"/>
      <c r="E436" s="9"/>
      <c r="F436" s="13" t="str">
        <f aca="false">IF(A436="","",MONTH(A436))</f>
        <v/>
      </c>
    </row>
    <row r="437" customFormat="false" ht="15" hidden="false" customHeight="false" outlineLevel="0" collapsed="false">
      <c r="A437" s="12"/>
      <c r="B437" s="8"/>
      <c r="C437" s="8"/>
      <c r="D437" s="8"/>
      <c r="E437" s="9"/>
      <c r="F437" s="13" t="str">
        <f aca="false">IF(A437="","",MONTH(A437))</f>
        <v/>
      </c>
    </row>
    <row r="438" customFormat="false" ht="15" hidden="false" customHeight="false" outlineLevel="0" collapsed="false">
      <c r="A438" s="12"/>
      <c r="B438" s="8"/>
      <c r="C438" s="8"/>
      <c r="D438" s="8"/>
      <c r="E438" s="9"/>
      <c r="F438" s="13" t="str">
        <f aca="false">IF(A438="","",MONTH(A438))</f>
        <v/>
      </c>
    </row>
    <row r="439" customFormat="false" ht="15" hidden="false" customHeight="false" outlineLevel="0" collapsed="false">
      <c r="A439" s="12"/>
      <c r="B439" s="8"/>
      <c r="C439" s="8"/>
      <c r="D439" s="8"/>
      <c r="E439" s="9"/>
      <c r="F439" s="13" t="str">
        <f aca="false">IF(A439="","",MONTH(A439))</f>
        <v/>
      </c>
    </row>
    <row r="440" customFormat="false" ht="15" hidden="false" customHeight="false" outlineLevel="0" collapsed="false">
      <c r="A440" s="12"/>
      <c r="B440" s="8"/>
      <c r="C440" s="8"/>
      <c r="D440" s="8"/>
      <c r="E440" s="9"/>
      <c r="F440" s="13" t="str">
        <f aca="false">IF(A440="","",MONTH(A440))</f>
        <v/>
      </c>
    </row>
    <row r="441" customFormat="false" ht="15" hidden="false" customHeight="false" outlineLevel="0" collapsed="false">
      <c r="A441" s="12"/>
      <c r="B441" s="8"/>
      <c r="C441" s="8"/>
      <c r="D441" s="8"/>
      <c r="E441" s="9"/>
      <c r="F441" s="13" t="str">
        <f aca="false">IF(A441="","",MONTH(A441))</f>
        <v/>
      </c>
    </row>
    <row r="442" customFormat="false" ht="15" hidden="false" customHeight="false" outlineLevel="0" collapsed="false">
      <c r="A442" s="12"/>
      <c r="B442" s="8"/>
      <c r="C442" s="8"/>
      <c r="D442" s="8"/>
      <c r="E442" s="9"/>
      <c r="F442" s="13" t="str">
        <f aca="false">IF(A442="","",MONTH(A442))</f>
        <v/>
      </c>
    </row>
    <row r="443" customFormat="false" ht="15" hidden="false" customHeight="false" outlineLevel="0" collapsed="false">
      <c r="A443" s="12"/>
      <c r="B443" s="8"/>
      <c r="C443" s="8"/>
      <c r="D443" s="8"/>
      <c r="E443" s="9"/>
      <c r="F443" s="13" t="str">
        <f aca="false">IF(A443="","",MONTH(A443))</f>
        <v/>
      </c>
    </row>
    <row r="444" customFormat="false" ht="15" hidden="false" customHeight="false" outlineLevel="0" collapsed="false">
      <c r="A444" s="12"/>
      <c r="B444" s="8"/>
      <c r="C444" s="8"/>
      <c r="D444" s="8"/>
      <c r="E444" s="9"/>
      <c r="F444" s="13" t="str">
        <f aca="false">IF(A444="","",MONTH(A444))</f>
        <v/>
      </c>
    </row>
    <row r="445" customFormat="false" ht="15" hidden="false" customHeight="false" outlineLevel="0" collapsed="false">
      <c r="A445" s="12"/>
      <c r="B445" s="8"/>
      <c r="C445" s="8"/>
      <c r="D445" s="8"/>
      <c r="E445" s="9"/>
      <c r="F445" s="13" t="str">
        <f aca="false">IF(A445="","",MONTH(A445))</f>
        <v/>
      </c>
    </row>
    <row r="446" customFormat="false" ht="15" hidden="false" customHeight="false" outlineLevel="0" collapsed="false">
      <c r="A446" s="12"/>
      <c r="B446" s="8"/>
      <c r="C446" s="8"/>
      <c r="D446" s="8"/>
      <c r="E446" s="9"/>
      <c r="F446" s="13" t="str">
        <f aca="false">IF(A446="","",MONTH(A446))</f>
        <v/>
      </c>
    </row>
    <row r="447" customFormat="false" ht="15" hidden="false" customHeight="false" outlineLevel="0" collapsed="false">
      <c r="A447" s="12"/>
      <c r="B447" s="8"/>
      <c r="C447" s="8"/>
      <c r="D447" s="8"/>
      <c r="E447" s="9"/>
      <c r="F447" s="13" t="str">
        <f aca="false">IF(A447="","",MONTH(A447))</f>
        <v/>
      </c>
    </row>
    <row r="448" customFormat="false" ht="15" hidden="false" customHeight="false" outlineLevel="0" collapsed="false">
      <c r="A448" s="12"/>
      <c r="B448" s="8"/>
      <c r="C448" s="8"/>
      <c r="D448" s="8"/>
      <c r="E448" s="9"/>
      <c r="F448" s="13" t="str">
        <f aca="false">IF(A448="","",MONTH(A448))</f>
        <v/>
      </c>
    </row>
    <row r="449" customFormat="false" ht="15" hidden="false" customHeight="false" outlineLevel="0" collapsed="false">
      <c r="A449" s="12"/>
      <c r="B449" s="8"/>
      <c r="C449" s="8"/>
      <c r="D449" s="8"/>
      <c r="E449" s="9"/>
      <c r="F449" s="13" t="str">
        <f aca="false">IF(A449="","",MONTH(A449))</f>
        <v/>
      </c>
    </row>
    <row r="450" customFormat="false" ht="15" hidden="false" customHeight="false" outlineLevel="0" collapsed="false">
      <c r="A450" s="12"/>
      <c r="B450" s="8"/>
      <c r="C450" s="8"/>
      <c r="D450" s="8"/>
      <c r="E450" s="9"/>
      <c r="F450" s="13" t="str">
        <f aca="false">IF(A450="","",MONTH(A450))</f>
        <v/>
      </c>
    </row>
    <row r="451" customFormat="false" ht="15" hidden="false" customHeight="false" outlineLevel="0" collapsed="false">
      <c r="A451" s="12"/>
      <c r="B451" s="8"/>
      <c r="C451" s="8"/>
      <c r="D451" s="8"/>
      <c r="E451" s="9"/>
      <c r="F451" s="13" t="str">
        <f aca="false">IF(A451="","",MONTH(A451))</f>
        <v/>
      </c>
    </row>
    <row r="452" customFormat="false" ht="15" hidden="false" customHeight="false" outlineLevel="0" collapsed="false">
      <c r="A452" s="12"/>
      <c r="B452" s="8"/>
      <c r="C452" s="8"/>
      <c r="D452" s="8"/>
      <c r="E452" s="9"/>
      <c r="F452" s="13" t="str">
        <f aca="false">IF(A452="","",MONTH(A452))</f>
        <v/>
      </c>
    </row>
    <row r="453" customFormat="false" ht="15" hidden="false" customHeight="false" outlineLevel="0" collapsed="false">
      <c r="A453" s="12"/>
      <c r="B453" s="8"/>
      <c r="C453" s="8"/>
      <c r="D453" s="8"/>
      <c r="E453" s="9"/>
      <c r="F453" s="13" t="str">
        <f aca="false">IF(A453="","",MONTH(A453))</f>
        <v/>
      </c>
    </row>
    <row r="454" customFormat="false" ht="15" hidden="false" customHeight="false" outlineLevel="0" collapsed="false">
      <c r="A454" s="12"/>
      <c r="B454" s="8"/>
      <c r="C454" s="8"/>
      <c r="D454" s="8"/>
      <c r="E454" s="9"/>
      <c r="F454" s="13" t="str">
        <f aca="false">IF(A454="","",MONTH(A454))</f>
        <v/>
      </c>
    </row>
    <row r="455" customFormat="false" ht="15" hidden="false" customHeight="false" outlineLevel="0" collapsed="false">
      <c r="A455" s="12"/>
      <c r="B455" s="8"/>
      <c r="C455" s="8"/>
      <c r="D455" s="8"/>
      <c r="E455" s="9"/>
      <c r="F455" s="13" t="str">
        <f aca="false">IF(A455="","",MONTH(A455))</f>
        <v/>
      </c>
    </row>
    <row r="456" customFormat="false" ht="15" hidden="false" customHeight="false" outlineLevel="0" collapsed="false">
      <c r="A456" s="12"/>
      <c r="B456" s="8"/>
      <c r="C456" s="8"/>
      <c r="D456" s="8"/>
      <c r="E456" s="9"/>
      <c r="F456" s="13" t="str">
        <f aca="false">IF(A456="","",MONTH(A456))</f>
        <v/>
      </c>
    </row>
    <row r="457" customFormat="false" ht="15" hidden="false" customHeight="false" outlineLevel="0" collapsed="false">
      <c r="A457" s="12"/>
      <c r="B457" s="8"/>
      <c r="C457" s="8"/>
      <c r="D457" s="8"/>
      <c r="E457" s="9"/>
      <c r="F457" s="13" t="str">
        <f aca="false">IF(A457="","",MONTH(A457))</f>
        <v/>
      </c>
    </row>
    <row r="458" customFormat="false" ht="15" hidden="false" customHeight="false" outlineLevel="0" collapsed="false">
      <c r="A458" s="12"/>
      <c r="B458" s="8"/>
      <c r="C458" s="8"/>
      <c r="D458" s="8"/>
      <c r="E458" s="9"/>
      <c r="F458" s="13" t="str">
        <f aca="false">IF(A458="","",MONTH(A458))</f>
        <v/>
      </c>
    </row>
    <row r="459" customFormat="false" ht="15" hidden="false" customHeight="false" outlineLevel="0" collapsed="false">
      <c r="A459" s="12"/>
      <c r="B459" s="8"/>
      <c r="C459" s="8"/>
      <c r="D459" s="8"/>
      <c r="E459" s="9"/>
      <c r="F459" s="13" t="str">
        <f aca="false">IF(A459="","",MONTH(A459))</f>
        <v/>
      </c>
    </row>
    <row r="460" customFormat="false" ht="15" hidden="false" customHeight="false" outlineLevel="0" collapsed="false">
      <c r="A460" s="12"/>
      <c r="B460" s="8"/>
      <c r="C460" s="8"/>
      <c r="D460" s="8"/>
      <c r="E460" s="9"/>
      <c r="F460" s="13" t="str">
        <f aca="false">IF(A460="","",MONTH(A460))</f>
        <v/>
      </c>
    </row>
    <row r="461" customFormat="false" ht="15" hidden="false" customHeight="false" outlineLevel="0" collapsed="false">
      <c r="A461" s="12"/>
      <c r="B461" s="8"/>
      <c r="C461" s="8"/>
      <c r="D461" s="8"/>
      <c r="E461" s="9"/>
      <c r="F461" s="13" t="str">
        <f aca="false">IF(A461="","",MONTH(A461))</f>
        <v/>
      </c>
    </row>
    <row r="462" customFormat="false" ht="15" hidden="false" customHeight="false" outlineLevel="0" collapsed="false">
      <c r="A462" s="12"/>
      <c r="B462" s="8"/>
      <c r="C462" s="8"/>
      <c r="D462" s="8"/>
      <c r="E462" s="9"/>
      <c r="F462" s="13" t="str">
        <f aca="false">IF(A462="","",MONTH(A462))</f>
        <v/>
      </c>
    </row>
    <row r="463" customFormat="false" ht="15" hidden="false" customHeight="false" outlineLevel="0" collapsed="false">
      <c r="A463" s="12"/>
      <c r="B463" s="8"/>
      <c r="C463" s="8"/>
      <c r="D463" s="8"/>
      <c r="E463" s="9"/>
      <c r="F463" s="13" t="str">
        <f aca="false">IF(A463="","",MONTH(A463))</f>
        <v/>
      </c>
    </row>
    <row r="464" customFormat="false" ht="15" hidden="false" customHeight="false" outlineLevel="0" collapsed="false">
      <c r="A464" s="12"/>
      <c r="B464" s="8"/>
      <c r="C464" s="8"/>
      <c r="D464" s="8"/>
      <c r="E464" s="9"/>
      <c r="F464" s="13" t="str">
        <f aca="false">IF(A464="","",MONTH(A464))</f>
        <v/>
      </c>
    </row>
    <row r="465" customFormat="false" ht="15" hidden="false" customHeight="false" outlineLevel="0" collapsed="false">
      <c r="A465" s="12"/>
      <c r="B465" s="8"/>
      <c r="C465" s="8"/>
      <c r="D465" s="8"/>
      <c r="E465" s="9"/>
      <c r="F465" s="13" t="str">
        <f aca="false">IF(A465="","",MONTH(A465))</f>
        <v/>
      </c>
    </row>
    <row r="466" customFormat="false" ht="15" hidden="false" customHeight="false" outlineLevel="0" collapsed="false">
      <c r="A466" s="12"/>
      <c r="B466" s="8"/>
      <c r="C466" s="8"/>
      <c r="D466" s="8"/>
      <c r="E466" s="9"/>
      <c r="F466" s="13" t="str">
        <f aca="false">IF(A466="","",MONTH(A466))</f>
        <v/>
      </c>
    </row>
    <row r="467" customFormat="false" ht="15" hidden="false" customHeight="false" outlineLevel="0" collapsed="false">
      <c r="A467" s="12"/>
      <c r="B467" s="8"/>
      <c r="C467" s="8"/>
      <c r="D467" s="8"/>
      <c r="E467" s="9"/>
      <c r="F467" s="13" t="str">
        <f aca="false">IF(A467="","",MONTH(A467))</f>
        <v/>
      </c>
    </row>
    <row r="468" customFormat="false" ht="15" hidden="false" customHeight="false" outlineLevel="0" collapsed="false">
      <c r="A468" s="12"/>
      <c r="B468" s="8"/>
      <c r="C468" s="8"/>
      <c r="D468" s="8"/>
      <c r="E468" s="9"/>
      <c r="F468" s="13" t="str">
        <f aca="false">IF(A468="","",MONTH(A468))</f>
        <v/>
      </c>
    </row>
    <row r="469" customFormat="false" ht="15" hidden="false" customHeight="false" outlineLevel="0" collapsed="false">
      <c r="A469" s="12"/>
      <c r="B469" s="8"/>
      <c r="C469" s="8"/>
      <c r="D469" s="8"/>
      <c r="E469" s="9"/>
      <c r="F469" s="13" t="str">
        <f aca="false">IF(A469="","",MONTH(A469))</f>
        <v/>
      </c>
    </row>
    <row r="470" customFormat="false" ht="15" hidden="false" customHeight="false" outlineLevel="0" collapsed="false">
      <c r="A470" s="12"/>
      <c r="B470" s="8"/>
      <c r="C470" s="8"/>
      <c r="D470" s="8"/>
      <c r="E470" s="9"/>
      <c r="F470" s="13" t="str">
        <f aca="false">IF(A470="","",MONTH(A470))</f>
        <v/>
      </c>
    </row>
    <row r="471" customFormat="false" ht="15" hidden="false" customHeight="false" outlineLevel="0" collapsed="false">
      <c r="A471" s="12"/>
      <c r="B471" s="8"/>
      <c r="C471" s="8"/>
      <c r="D471" s="8"/>
      <c r="E471" s="9"/>
      <c r="F471" s="13" t="str">
        <f aca="false">IF(A471="","",MONTH(A471))</f>
        <v/>
      </c>
    </row>
    <row r="472" customFormat="false" ht="15" hidden="false" customHeight="false" outlineLevel="0" collapsed="false">
      <c r="A472" s="12"/>
      <c r="B472" s="8"/>
      <c r="C472" s="8"/>
      <c r="D472" s="8"/>
      <c r="E472" s="9"/>
      <c r="F472" s="13" t="str">
        <f aca="false">IF(A472="","",MONTH(A472))</f>
        <v/>
      </c>
    </row>
    <row r="473" customFormat="false" ht="15" hidden="false" customHeight="false" outlineLevel="0" collapsed="false">
      <c r="A473" s="12"/>
      <c r="B473" s="8"/>
      <c r="C473" s="8"/>
      <c r="D473" s="8"/>
      <c r="E473" s="9"/>
      <c r="F473" s="13" t="str">
        <f aca="false">IF(A473="","",MONTH(A473))</f>
        <v/>
      </c>
    </row>
    <row r="474" customFormat="false" ht="15" hidden="false" customHeight="false" outlineLevel="0" collapsed="false">
      <c r="A474" s="12"/>
      <c r="B474" s="8"/>
      <c r="C474" s="8"/>
      <c r="D474" s="8"/>
      <c r="E474" s="9"/>
      <c r="F474" s="13" t="str">
        <f aca="false">IF(A474="","",MONTH(A474))</f>
        <v/>
      </c>
    </row>
    <row r="475" customFormat="false" ht="15" hidden="false" customHeight="false" outlineLevel="0" collapsed="false">
      <c r="A475" s="12"/>
      <c r="B475" s="8"/>
      <c r="C475" s="8"/>
      <c r="D475" s="8"/>
      <c r="E475" s="9"/>
      <c r="F475" s="13" t="str">
        <f aca="false">IF(A475="","",MONTH(A475))</f>
        <v/>
      </c>
    </row>
    <row r="476" customFormat="false" ht="15" hidden="false" customHeight="false" outlineLevel="0" collapsed="false">
      <c r="A476" s="12"/>
      <c r="B476" s="8"/>
      <c r="C476" s="8"/>
      <c r="D476" s="8"/>
      <c r="E476" s="9"/>
      <c r="F476" s="13" t="str">
        <f aca="false">IF(A476="","",MONTH(A476))</f>
        <v/>
      </c>
    </row>
    <row r="477" customFormat="false" ht="15" hidden="false" customHeight="false" outlineLevel="0" collapsed="false">
      <c r="A477" s="12"/>
      <c r="B477" s="8"/>
      <c r="C477" s="8"/>
      <c r="D477" s="8"/>
      <c r="E477" s="9"/>
      <c r="F477" s="13" t="str">
        <f aca="false">IF(A477="","",MONTH(A477))</f>
        <v/>
      </c>
    </row>
    <row r="478" customFormat="false" ht="15" hidden="false" customHeight="false" outlineLevel="0" collapsed="false">
      <c r="A478" s="12"/>
      <c r="B478" s="8"/>
      <c r="C478" s="8"/>
      <c r="D478" s="8"/>
      <c r="E478" s="9"/>
      <c r="F478" s="13" t="str">
        <f aca="false">IF(A478="","",MONTH(A478))</f>
        <v/>
      </c>
    </row>
    <row r="479" customFormat="false" ht="15" hidden="false" customHeight="false" outlineLevel="0" collapsed="false">
      <c r="A479" s="12"/>
      <c r="B479" s="8"/>
      <c r="C479" s="8"/>
      <c r="D479" s="8"/>
      <c r="E479" s="9"/>
      <c r="F479" s="13" t="str">
        <f aca="false">IF(A479="","",MONTH(A479))</f>
        <v/>
      </c>
    </row>
    <row r="480" customFormat="false" ht="15" hidden="false" customHeight="false" outlineLevel="0" collapsed="false">
      <c r="A480" s="12"/>
      <c r="B480" s="8"/>
      <c r="C480" s="8"/>
      <c r="D480" s="8"/>
      <c r="E480" s="9"/>
      <c r="F480" s="13" t="str">
        <f aca="false">IF(A480="","",MONTH(A480))</f>
        <v/>
      </c>
    </row>
    <row r="481" customFormat="false" ht="15" hidden="false" customHeight="false" outlineLevel="0" collapsed="false">
      <c r="A481" s="12"/>
      <c r="B481" s="8"/>
      <c r="C481" s="8"/>
      <c r="D481" s="8"/>
      <c r="E481" s="9"/>
      <c r="F481" s="13" t="str">
        <f aca="false">IF(A481="","",MONTH(A481))</f>
        <v/>
      </c>
    </row>
    <row r="482" customFormat="false" ht="15" hidden="false" customHeight="false" outlineLevel="0" collapsed="false">
      <c r="A482" s="12"/>
      <c r="B482" s="8"/>
      <c r="C482" s="8"/>
      <c r="D482" s="8"/>
      <c r="E482" s="9"/>
      <c r="F482" s="13" t="str">
        <f aca="false">IF(A482="","",MONTH(A482))</f>
        <v/>
      </c>
    </row>
    <row r="483" customFormat="false" ht="15" hidden="false" customHeight="false" outlineLevel="0" collapsed="false">
      <c r="A483" s="12"/>
      <c r="B483" s="8"/>
      <c r="C483" s="8"/>
      <c r="D483" s="8"/>
      <c r="E483" s="9"/>
      <c r="F483" s="13" t="str">
        <f aca="false">IF(A483="","",MONTH(A483))</f>
        <v/>
      </c>
    </row>
    <row r="484" customFormat="false" ht="15" hidden="false" customHeight="false" outlineLevel="0" collapsed="false">
      <c r="A484" s="12"/>
      <c r="B484" s="8"/>
      <c r="C484" s="8"/>
      <c r="D484" s="8"/>
      <c r="E484" s="9"/>
      <c r="F484" s="13" t="str">
        <f aca="false">IF(A484="","",MONTH(A484))</f>
        <v/>
      </c>
    </row>
    <row r="485" customFormat="false" ht="15" hidden="false" customHeight="false" outlineLevel="0" collapsed="false">
      <c r="A485" s="12"/>
      <c r="B485" s="8"/>
      <c r="C485" s="8"/>
      <c r="D485" s="8"/>
      <c r="E485" s="9"/>
      <c r="F485" s="13" t="str">
        <f aca="false">IF(A485="","",MONTH(A485))</f>
        <v/>
      </c>
    </row>
    <row r="486" customFormat="false" ht="15" hidden="false" customHeight="false" outlineLevel="0" collapsed="false">
      <c r="A486" s="12"/>
      <c r="B486" s="8"/>
      <c r="C486" s="8"/>
      <c r="D486" s="8"/>
      <c r="E486" s="9"/>
      <c r="F486" s="13" t="str">
        <f aca="false">IF(A486="","",MONTH(A486))</f>
        <v/>
      </c>
    </row>
    <row r="487" customFormat="false" ht="15" hidden="false" customHeight="false" outlineLevel="0" collapsed="false">
      <c r="A487" s="12"/>
      <c r="B487" s="8"/>
      <c r="C487" s="8"/>
      <c r="D487" s="8"/>
      <c r="E487" s="9"/>
      <c r="F487" s="13" t="str">
        <f aca="false">IF(A487="","",MONTH(A487))</f>
        <v/>
      </c>
    </row>
    <row r="488" customFormat="false" ht="15" hidden="false" customHeight="false" outlineLevel="0" collapsed="false">
      <c r="A488" s="12"/>
      <c r="B488" s="8"/>
      <c r="C488" s="8"/>
      <c r="D488" s="8"/>
      <c r="E488" s="9"/>
      <c r="F488" s="13" t="str">
        <f aca="false">IF(A488="","",MONTH(A488))</f>
        <v/>
      </c>
    </row>
    <row r="489" customFormat="false" ht="15" hidden="false" customHeight="false" outlineLevel="0" collapsed="false">
      <c r="A489" s="12"/>
      <c r="B489" s="8"/>
      <c r="C489" s="8"/>
      <c r="D489" s="8"/>
      <c r="E489" s="9"/>
      <c r="F489" s="13" t="str">
        <f aca="false">IF(A489="","",MONTH(A489))</f>
        <v/>
      </c>
    </row>
    <row r="490" customFormat="false" ht="15" hidden="false" customHeight="false" outlineLevel="0" collapsed="false">
      <c r="A490" s="12"/>
      <c r="B490" s="8"/>
      <c r="C490" s="8"/>
      <c r="D490" s="8"/>
      <c r="E490" s="9"/>
      <c r="F490" s="13" t="str">
        <f aca="false">IF(A490="","",MONTH(A490))</f>
        <v/>
      </c>
    </row>
    <row r="491" customFormat="false" ht="15" hidden="false" customHeight="false" outlineLevel="0" collapsed="false">
      <c r="A491" s="12"/>
      <c r="B491" s="8"/>
      <c r="C491" s="8"/>
      <c r="D491" s="8"/>
      <c r="E491" s="9"/>
      <c r="F491" s="13" t="str">
        <f aca="false">IF(A491="","",MONTH(A491))</f>
        <v/>
      </c>
    </row>
    <row r="492" customFormat="false" ht="15" hidden="false" customHeight="false" outlineLevel="0" collapsed="false">
      <c r="A492" s="12"/>
      <c r="B492" s="8"/>
      <c r="C492" s="8"/>
      <c r="D492" s="8"/>
      <c r="E492" s="9"/>
      <c r="F492" s="13" t="str">
        <f aca="false">IF(A492="","",MONTH(A492))</f>
        <v/>
      </c>
    </row>
    <row r="493" customFormat="false" ht="15" hidden="false" customHeight="false" outlineLevel="0" collapsed="false">
      <c r="A493" s="12"/>
      <c r="B493" s="8"/>
      <c r="C493" s="8"/>
      <c r="D493" s="8"/>
      <c r="E493" s="9"/>
      <c r="F493" s="13" t="str">
        <f aca="false">IF(A493="","",MONTH(A493))</f>
        <v/>
      </c>
    </row>
    <row r="494" customFormat="false" ht="15" hidden="false" customHeight="false" outlineLevel="0" collapsed="false">
      <c r="A494" s="12"/>
      <c r="B494" s="8"/>
      <c r="C494" s="8"/>
      <c r="D494" s="8"/>
      <c r="E494" s="9"/>
      <c r="F494" s="13" t="str">
        <f aca="false">IF(A494="","",MONTH(A494))</f>
        <v/>
      </c>
    </row>
    <row r="495" customFormat="false" ht="15" hidden="false" customHeight="false" outlineLevel="0" collapsed="false">
      <c r="A495" s="12"/>
      <c r="B495" s="8"/>
      <c r="C495" s="8"/>
      <c r="D495" s="8"/>
      <c r="E495" s="9"/>
      <c r="F495" s="13" t="str">
        <f aca="false">IF(A495="","",MONTH(A495))</f>
        <v/>
      </c>
    </row>
    <row r="496" customFormat="false" ht="15" hidden="false" customHeight="false" outlineLevel="0" collapsed="false">
      <c r="A496" s="12"/>
      <c r="B496" s="8"/>
      <c r="C496" s="8"/>
      <c r="D496" s="8"/>
      <c r="E496" s="9"/>
      <c r="F496" s="13" t="str">
        <f aca="false">IF(A496="","",MONTH(A496))</f>
        <v/>
      </c>
    </row>
    <row r="497" customFormat="false" ht="15" hidden="false" customHeight="false" outlineLevel="0" collapsed="false">
      <c r="A497" s="12"/>
      <c r="B497" s="8"/>
      <c r="C497" s="8"/>
      <c r="D497" s="8"/>
      <c r="E497" s="9"/>
      <c r="F497" s="13" t="str">
        <f aca="false">IF(A497="","",MONTH(A497))</f>
        <v/>
      </c>
    </row>
    <row r="498" customFormat="false" ht="15" hidden="false" customHeight="false" outlineLevel="0" collapsed="false">
      <c r="A498" s="12"/>
      <c r="B498" s="8"/>
      <c r="C498" s="8"/>
      <c r="D498" s="8"/>
      <c r="E498" s="9"/>
      <c r="F498" s="13" t="str">
        <f aca="false">IF(A498="","",MONTH(A498))</f>
        <v/>
      </c>
    </row>
    <row r="499" customFormat="false" ht="15" hidden="false" customHeight="false" outlineLevel="0" collapsed="false">
      <c r="A499" s="12"/>
      <c r="B499" s="8"/>
      <c r="C499" s="8"/>
      <c r="D499" s="8"/>
      <c r="E499" s="9"/>
      <c r="F499" s="13" t="str">
        <f aca="false">IF(A499="","",MONTH(A499))</f>
        <v/>
      </c>
    </row>
    <row r="500" customFormat="false" ht="15" hidden="false" customHeight="false" outlineLevel="0" collapsed="false">
      <c r="A500" s="12"/>
      <c r="B500" s="8"/>
      <c r="C500" s="8"/>
      <c r="D500" s="8"/>
      <c r="E500" s="9"/>
      <c r="F500" s="13" t="str">
        <f aca="false">IF(A500="","",MONTH(A500))</f>
        <v/>
      </c>
    </row>
    <row r="501" customFormat="false" ht="15" hidden="false" customHeight="false" outlineLevel="0" collapsed="false">
      <c r="A501" s="12"/>
      <c r="B501" s="8"/>
      <c r="C501" s="8"/>
      <c r="D501" s="8"/>
      <c r="E501" s="9"/>
      <c r="F501" s="13" t="str">
        <f aca="false">IF(A501="","",MONTH(A501))</f>
        <v/>
      </c>
    </row>
    <row r="502" customFormat="false" ht="15" hidden="false" customHeight="false" outlineLevel="0" collapsed="false">
      <c r="A502" s="12"/>
      <c r="B502" s="8"/>
      <c r="C502" s="8"/>
      <c r="D502" s="8"/>
      <c r="E502" s="9"/>
      <c r="F502" s="13" t="str">
        <f aca="false">IF(A502="","",MONTH(A502))</f>
        <v/>
      </c>
    </row>
    <row r="503" customFormat="false" ht="15" hidden="false" customHeight="false" outlineLevel="0" collapsed="false">
      <c r="A503" s="12"/>
      <c r="B503" s="8"/>
      <c r="C503" s="8"/>
      <c r="D503" s="8"/>
      <c r="E503" s="9"/>
      <c r="F503" s="13" t="str">
        <f aca="false">IF(A503="","",MONTH(A503))</f>
        <v/>
      </c>
    </row>
    <row r="504" customFormat="false" ht="15" hidden="false" customHeight="false" outlineLevel="0" collapsed="false">
      <c r="A504" s="12"/>
      <c r="B504" s="8"/>
      <c r="C504" s="8"/>
      <c r="D504" s="8"/>
      <c r="E504" s="9"/>
      <c r="F504" s="13" t="str">
        <f aca="false">IF(A504="","",MONTH(A504))</f>
        <v/>
      </c>
    </row>
    <row r="505" customFormat="false" ht="15" hidden="false" customHeight="false" outlineLevel="0" collapsed="false">
      <c r="A505" s="12"/>
      <c r="B505" s="8"/>
      <c r="C505" s="8"/>
      <c r="D505" s="8"/>
      <c r="E505" s="9"/>
      <c r="F505" s="13" t="str">
        <f aca="false">IF(A505="","",MONTH(A505))</f>
        <v/>
      </c>
    </row>
    <row r="506" customFormat="false" ht="15" hidden="false" customHeight="false" outlineLevel="0" collapsed="false">
      <c r="A506" s="12"/>
      <c r="B506" s="8"/>
      <c r="C506" s="8"/>
      <c r="D506" s="8"/>
      <c r="E506" s="9"/>
      <c r="F506" s="13" t="str">
        <f aca="false">IF(A506="","",MONTH(A506))</f>
        <v/>
      </c>
    </row>
    <row r="507" customFormat="false" ht="15" hidden="false" customHeight="false" outlineLevel="0" collapsed="false">
      <c r="A507" s="12"/>
      <c r="B507" s="8"/>
      <c r="C507" s="8"/>
      <c r="D507" s="8"/>
      <c r="E507" s="9"/>
      <c r="F507" s="13" t="str">
        <f aca="false">IF(A507="","",MONTH(A507))</f>
        <v/>
      </c>
    </row>
    <row r="508" customFormat="false" ht="15" hidden="false" customHeight="false" outlineLevel="0" collapsed="false">
      <c r="A508" s="12"/>
      <c r="B508" s="8"/>
      <c r="C508" s="8"/>
      <c r="D508" s="8"/>
      <c r="E508" s="9"/>
      <c r="F508" s="13" t="str">
        <f aca="false">IF(A508="","",MONTH(A508))</f>
        <v/>
      </c>
    </row>
    <row r="509" customFormat="false" ht="15" hidden="false" customHeight="false" outlineLevel="0" collapsed="false">
      <c r="A509" s="12"/>
      <c r="B509" s="8"/>
      <c r="C509" s="8"/>
      <c r="D509" s="8"/>
      <c r="E509" s="9"/>
      <c r="F509" s="13" t="str">
        <f aca="false">IF(A509="","",MONTH(A509))</f>
        <v/>
      </c>
    </row>
    <row r="510" customFormat="false" ht="15" hidden="false" customHeight="false" outlineLevel="0" collapsed="false">
      <c r="A510" s="12"/>
      <c r="B510" s="8"/>
      <c r="C510" s="8"/>
      <c r="D510" s="8"/>
      <c r="E510" s="9"/>
      <c r="F510" s="13" t="str">
        <f aca="false">IF(A510="","",MONTH(A510))</f>
        <v/>
      </c>
    </row>
    <row r="511" customFormat="false" ht="15" hidden="false" customHeight="false" outlineLevel="0" collapsed="false">
      <c r="A511" s="12"/>
      <c r="B511" s="8"/>
      <c r="C511" s="8"/>
      <c r="D511" s="8"/>
      <c r="E511" s="9"/>
      <c r="F511" s="13" t="str">
        <f aca="false">IF(A511="","",MONTH(A511))</f>
        <v/>
      </c>
    </row>
    <row r="512" customFormat="false" ht="15" hidden="false" customHeight="false" outlineLevel="0" collapsed="false">
      <c r="A512" s="12"/>
      <c r="B512" s="8"/>
      <c r="C512" s="8"/>
      <c r="D512" s="8"/>
      <c r="E512" s="9"/>
      <c r="F512" s="13" t="str">
        <f aca="false">IF(A512="","",MONTH(A512))</f>
        <v/>
      </c>
    </row>
    <row r="513" customFormat="false" ht="15" hidden="false" customHeight="false" outlineLevel="0" collapsed="false">
      <c r="A513" s="12"/>
      <c r="B513" s="8"/>
      <c r="C513" s="8"/>
      <c r="D513" s="8"/>
      <c r="E513" s="9"/>
      <c r="F513" s="13" t="str">
        <f aca="false">IF(A513="","",MONTH(A513))</f>
        <v/>
      </c>
    </row>
    <row r="514" customFormat="false" ht="15" hidden="false" customHeight="false" outlineLevel="0" collapsed="false">
      <c r="A514" s="12"/>
      <c r="B514" s="8"/>
      <c r="C514" s="8"/>
      <c r="D514" s="8"/>
      <c r="E514" s="9"/>
      <c r="F514" s="13" t="str">
        <f aca="false">IF(A514="","",MONTH(A514))</f>
        <v/>
      </c>
    </row>
    <row r="515" customFormat="false" ht="15" hidden="false" customHeight="false" outlineLevel="0" collapsed="false">
      <c r="A515" s="12"/>
      <c r="B515" s="8"/>
      <c r="C515" s="8"/>
      <c r="D515" s="8"/>
      <c r="E515" s="9"/>
      <c r="F515" s="13" t="str">
        <f aca="false">IF(A515="","",MONTH(A515))</f>
        <v/>
      </c>
    </row>
    <row r="516" customFormat="false" ht="15" hidden="false" customHeight="false" outlineLevel="0" collapsed="false">
      <c r="A516" s="12"/>
      <c r="B516" s="8"/>
      <c r="C516" s="8"/>
      <c r="D516" s="8"/>
      <c r="E516" s="9"/>
      <c r="F516" s="13" t="str">
        <f aca="false">IF(A516="","",MONTH(A516))</f>
        <v/>
      </c>
    </row>
    <row r="517" customFormat="false" ht="15" hidden="false" customHeight="false" outlineLevel="0" collapsed="false">
      <c r="A517" s="12"/>
      <c r="B517" s="8"/>
      <c r="C517" s="8"/>
      <c r="D517" s="8"/>
      <c r="E517" s="9"/>
      <c r="F517" s="13" t="str">
        <f aca="false">IF(A517="","",MONTH(A517))</f>
        <v/>
      </c>
    </row>
    <row r="518" customFormat="false" ht="15" hidden="false" customHeight="false" outlineLevel="0" collapsed="false">
      <c r="A518" s="12"/>
      <c r="B518" s="8"/>
      <c r="C518" s="8"/>
      <c r="D518" s="8"/>
      <c r="E518" s="9"/>
      <c r="F518" s="13" t="str">
        <f aca="false">IF(A518="","",MONTH(A518))</f>
        <v/>
      </c>
    </row>
    <row r="519" customFormat="false" ht="15" hidden="false" customHeight="false" outlineLevel="0" collapsed="false">
      <c r="A519" s="12"/>
      <c r="B519" s="8"/>
      <c r="C519" s="8"/>
      <c r="D519" s="8"/>
      <c r="E519" s="9"/>
      <c r="F519" s="13" t="str">
        <f aca="false">IF(A519="","",MONTH(A519))</f>
        <v/>
      </c>
    </row>
    <row r="520" customFormat="false" ht="15" hidden="false" customHeight="false" outlineLevel="0" collapsed="false">
      <c r="A520" s="12"/>
      <c r="B520" s="8"/>
      <c r="C520" s="8"/>
      <c r="D520" s="8"/>
      <c r="E520" s="9"/>
      <c r="F520" s="13" t="str">
        <f aca="false">IF(A520="","",MONTH(A520))</f>
        <v/>
      </c>
    </row>
    <row r="521" customFormat="false" ht="15" hidden="false" customHeight="false" outlineLevel="0" collapsed="false">
      <c r="A521" s="12"/>
      <c r="B521" s="8"/>
      <c r="C521" s="8"/>
      <c r="D521" s="8"/>
      <c r="E521" s="9"/>
      <c r="F521" s="13" t="str">
        <f aca="false">IF(A521="","",MONTH(A521))</f>
        <v/>
      </c>
    </row>
    <row r="522" customFormat="false" ht="15" hidden="false" customHeight="false" outlineLevel="0" collapsed="false">
      <c r="A522" s="12"/>
      <c r="B522" s="8"/>
      <c r="C522" s="8"/>
      <c r="D522" s="8"/>
      <c r="E522" s="9"/>
      <c r="F522" s="13" t="str">
        <f aca="false">IF(A522="","",MONTH(A522))</f>
        <v/>
      </c>
    </row>
    <row r="523" customFormat="false" ht="15" hidden="false" customHeight="false" outlineLevel="0" collapsed="false">
      <c r="A523" s="12"/>
      <c r="B523" s="8"/>
      <c r="C523" s="8"/>
      <c r="D523" s="8"/>
      <c r="E523" s="9"/>
      <c r="F523" s="13" t="str">
        <f aca="false">IF(A523="","",MONTH(A523))</f>
        <v/>
      </c>
    </row>
    <row r="524" customFormat="false" ht="15" hidden="false" customHeight="false" outlineLevel="0" collapsed="false">
      <c r="A524" s="12"/>
      <c r="B524" s="8"/>
      <c r="C524" s="8"/>
      <c r="D524" s="8"/>
      <c r="E524" s="9"/>
      <c r="F524" s="13" t="str">
        <f aca="false">IF(A524="","",MONTH(A524))</f>
        <v/>
      </c>
    </row>
    <row r="525" customFormat="false" ht="15" hidden="false" customHeight="false" outlineLevel="0" collapsed="false">
      <c r="A525" s="12"/>
      <c r="B525" s="8"/>
      <c r="C525" s="8"/>
      <c r="D525" s="8"/>
      <c r="E525" s="9"/>
      <c r="F525" s="13" t="str">
        <f aca="false">IF(A525="","",MONTH(A525))</f>
        <v/>
      </c>
    </row>
    <row r="526" customFormat="false" ht="15" hidden="false" customHeight="false" outlineLevel="0" collapsed="false">
      <c r="A526" s="12"/>
      <c r="B526" s="8"/>
      <c r="C526" s="8"/>
      <c r="D526" s="8"/>
      <c r="E526" s="9"/>
      <c r="F526" s="13" t="str">
        <f aca="false">IF(A526="","",MONTH(A526))</f>
        <v/>
      </c>
    </row>
    <row r="527" customFormat="false" ht="15" hidden="false" customHeight="false" outlineLevel="0" collapsed="false">
      <c r="A527" s="12"/>
      <c r="B527" s="8"/>
      <c r="C527" s="8"/>
      <c r="D527" s="8"/>
      <c r="E527" s="9"/>
      <c r="F527" s="13" t="str">
        <f aca="false">IF(A527="","",MONTH(A527))</f>
        <v/>
      </c>
    </row>
    <row r="528" customFormat="false" ht="15" hidden="false" customHeight="false" outlineLevel="0" collapsed="false">
      <c r="A528" s="12"/>
      <c r="B528" s="8"/>
      <c r="C528" s="8"/>
      <c r="D528" s="8"/>
      <c r="E528" s="9"/>
      <c r="F528" s="13" t="str">
        <f aca="false">IF(A528="","",MONTH(A528))</f>
        <v/>
      </c>
    </row>
    <row r="529" customFormat="false" ht="15" hidden="false" customHeight="false" outlineLevel="0" collapsed="false">
      <c r="A529" s="12"/>
      <c r="B529" s="8"/>
      <c r="C529" s="8"/>
      <c r="D529" s="8"/>
      <c r="E529" s="9"/>
      <c r="F529" s="13" t="str">
        <f aca="false">IF(A529="","",MONTH(A529))</f>
        <v/>
      </c>
    </row>
    <row r="530" customFormat="false" ht="15" hidden="false" customHeight="false" outlineLevel="0" collapsed="false">
      <c r="A530" s="12"/>
      <c r="B530" s="8"/>
      <c r="C530" s="8"/>
      <c r="D530" s="8"/>
      <c r="E530" s="9"/>
      <c r="F530" s="13" t="str">
        <f aca="false">IF(A530="","",MONTH(A530))</f>
        <v/>
      </c>
    </row>
    <row r="531" customFormat="false" ht="15" hidden="false" customHeight="false" outlineLevel="0" collapsed="false">
      <c r="A531" s="12"/>
      <c r="B531" s="8"/>
      <c r="C531" s="8"/>
      <c r="D531" s="8"/>
      <c r="E531" s="9"/>
      <c r="F531" s="13" t="str">
        <f aca="false">IF(A531="","",MONTH(A531))</f>
        <v/>
      </c>
    </row>
    <row r="532" customFormat="false" ht="15" hidden="false" customHeight="false" outlineLevel="0" collapsed="false">
      <c r="A532" s="12"/>
      <c r="B532" s="8"/>
      <c r="C532" s="8"/>
      <c r="D532" s="8"/>
      <c r="E532" s="9"/>
      <c r="F532" s="13" t="str">
        <f aca="false">IF(A532="","",MONTH(A532))</f>
        <v/>
      </c>
    </row>
    <row r="533" customFormat="false" ht="15" hidden="false" customHeight="false" outlineLevel="0" collapsed="false">
      <c r="A533" s="12"/>
      <c r="B533" s="8"/>
      <c r="C533" s="8"/>
      <c r="D533" s="8"/>
      <c r="E533" s="9"/>
      <c r="F533" s="13" t="str">
        <f aca="false">IF(A533="","",MONTH(A533))</f>
        <v/>
      </c>
    </row>
    <row r="534" customFormat="false" ht="15" hidden="false" customHeight="false" outlineLevel="0" collapsed="false">
      <c r="A534" s="12"/>
      <c r="B534" s="8"/>
      <c r="C534" s="8"/>
      <c r="D534" s="8"/>
      <c r="E534" s="9"/>
      <c r="F534" s="13" t="str">
        <f aca="false">IF(A534="","",MONTH(A534))</f>
        <v/>
      </c>
    </row>
    <row r="535" customFormat="false" ht="15" hidden="false" customHeight="false" outlineLevel="0" collapsed="false">
      <c r="A535" s="12"/>
      <c r="B535" s="8"/>
      <c r="C535" s="8"/>
      <c r="D535" s="8"/>
      <c r="E535" s="9"/>
      <c r="F535" s="13" t="str">
        <f aca="false">IF(A535="","",MONTH(A535))</f>
        <v/>
      </c>
    </row>
    <row r="536" customFormat="false" ht="15" hidden="false" customHeight="false" outlineLevel="0" collapsed="false">
      <c r="A536" s="12"/>
      <c r="B536" s="8"/>
      <c r="C536" s="8"/>
      <c r="D536" s="8"/>
      <c r="E536" s="9"/>
      <c r="F536" s="13" t="str">
        <f aca="false">IF(A536="","",MONTH(A536))</f>
        <v/>
      </c>
    </row>
    <row r="537" customFormat="false" ht="15" hidden="false" customHeight="false" outlineLevel="0" collapsed="false">
      <c r="A537" s="12"/>
      <c r="B537" s="8"/>
      <c r="C537" s="8"/>
      <c r="D537" s="8"/>
      <c r="E537" s="9"/>
      <c r="F537" s="13" t="str">
        <f aca="false">IF(A537="","",MONTH(A537))</f>
        <v/>
      </c>
    </row>
    <row r="538" customFormat="false" ht="15" hidden="false" customHeight="false" outlineLevel="0" collapsed="false">
      <c r="A538" s="12"/>
      <c r="B538" s="8"/>
      <c r="C538" s="8"/>
      <c r="D538" s="8"/>
      <c r="E538" s="9"/>
      <c r="F538" s="13" t="str">
        <f aca="false">IF(A538="","",MONTH(A538))</f>
        <v/>
      </c>
    </row>
    <row r="539" customFormat="false" ht="15" hidden="false" customHeight="false" outlineLevel="0" collapsed="false">
      <c r="A539" s="12"/>
      <c r="B539" s="8"/>
      <c r="C539" s="8"/>
      <c r="D539" s="8"/>
      <c r="E539" s="9"/>
      <c r="F539" s="13" t="str">
        <f aca="false">IF(A539="","",MONTH(A539))</f>
        <v/>
      </c>
    </row>
    <row r="540" customFormat="false" ht="15" hidden="false" customHeight="false" outlineLevel="0" collapsed="false">
      <c r="A540" s="12"/>
      <c r="B540" s="8"/>
      <c r="C540" s="8"/>
      <c r="D540" s="8"/>
      <c r="E540" s="9"/>
      <c r="F540" s="13" t="str">
        <f aca="false">IF(A540="","",MONTH(A540))</f>
        <v/>
      </c>
    </row>
    <row r="541" customFormat="false" ht="15" hidden="false" customHeight="false" outlineLevel="0" collapsed="false">
      <c r="A541" s="12"/>
      <c r="B541" s="8"/>
      <c r="C541" s="8"/>
      <c r="D541" s="8"/>
      <c r="E541" s="9"/>
      <c r="F541" s="13" t="str">
        <f aca="false">IF(A541="","",MONTH(A541))</f>
        <v/>
      </c>
    </row>
    <row r="542" customFormat="false" ht="15" hidden="false" customHeight="false" outlineLevel="0" collapsed="false">
      <c r="A542" s="12"/>
      <c r="B542" s="8"/>
      <c r="C542" s="8"/>
      <c r="D542" s="8"/>
      <c r="E542" s="9"/>
      <c r="F542" s="13" t="str">
        <f aca="false">IF(A542="","",MONTH(A542))</f>
        <v/>
      </c>
    </row>
    <row r="543" customFormat="false" ht="15" hidden="false" customHeight="false" outlineLevel="0" collapsed="false">
      <c r="A543" s="12"/>
      <c r="B543" s="8"/>
      <c r="C543" s="8"/>
      <c r="D543" s="8"/>
      <c r="E543" s="9"/>
      <c r="F543" s="13" t="str">
        <f aca="false">IF(A543="","",MONTH(A543))</f>
        <v/>
      </c>
    </row>
    <row r="544" customFormat="false" ht="15" hidden="false" customHeight="false" outlineLevel="0" collapsed="false">
      <c r="A544" s="12"/>
      <c r="B544" s="8"/>
      <c r="C544" s="8"/>
      <c r="D544" s="8"/>
      <c r="E544" s="9"/>
      <c r="F544" s="13" t="str">
        <f aca="false">IF(A544="","",MONTH(A544))</f>
        <v/>
      </c>
    </row>
    <row r="545" customFormat="false" ht="15" hidden="false" customHeight="false" outlineLevel="0" collapsed="false">
      <c r="A545" s="12"/>
      <c r="B545" s="8"/>
      <c r="C545" s="8"/>
      <c r="D545" s="8"/>
      <c r="E545" s="9"/>
      <c r="F545" s="13" t="str">
        <f aca="false">IF(A545="","",MONTH(A545))</f>
        <v/>
      </c>
    </row>
    <row r="546" customFormat="false" ht="15" hidden="false" customHeight="false" outlineLevel="0" collapsed="false">
      <c r="A546" s="12"/>
      <c r="B546" s="8"/>
      <c r="C546" s="8"/>
      <c r="D546" s="8"/>
      <c r="E546" s="9"/>
      <c r="F546" s="13" t="str">
        <f aca="false">IF(A546="","",MONTH(A546))</f>
        <v/>
      </c>
    </row>
    <row r="547" customFormat="false" ht="15" hidden="false" customHeight="false" outlineLevel="0" collapsed="false">
      <c r="A547" s="12"/>
      <c r="B547" s="8"/>
      <c r="C547" s="8"/>
      <c r="D547" s="8"/>
      <c r="E547" s="9"/>
      <c r="F547" s="13" t="str">
        <f aca="false">IF(A547="","",MONTH(A547))</f>
        <v/>
      </c>
    </row>
    <row r="548" customFormat="false" ht="15" hidden="false" customHeight="false" outlineLevel="0" collapsed="false">
      <c r="A548" s="12"/>
      <c r="B548" s="8"/>
      <c r="C548" s="8"/>
      <c r="D548" s="8"/>
      <c r="E548" s="9"/>
      <c r="F548" s="13" t="str">
        <f aca="false">IF(A548="","",MONTH(A548))</f>
        <v/>
      </c>
    </row>
    <row r="549" customFormat="false" ht="15" hidden="false" customHeight="false" outlineLevel="0" collapsed="false">
      <c r="A549" s="12"/>
      <c r="B549" s="8"/>
      <c r="C549" s="8"/>
      <c r="D549" s="8"/>
      <c r="E549" s="9"/>
      <c r="F549" s="13" t="str">
        <f aca="false">IF(A549="","",MONTH(A549))</f>
        <v/>
      </c>
    </row>
    <row r="550" customFormat="false" ht="15" hidden="false" customHeight="false" outlineLevel="0" collapsed="false">
      <c r="A550" s="12"/>
      <c r="B550" s="8"/>
      <c r="C550" s="8"/>
      <c r="D550" s="8"/>
      <c r="E550" s="9"/>
      <c r="F550" s="13" t="str">
        <f aca="false">IF(A550="","",MONTH(A550))</f>
        <v/>
      </c>
    </row>
    <row r="551" customFormat="false" ht="15" hidden="false" customHeight="false" outlineLevel="0" collapsed="false">
      <c r="A551" s="12"/>
      <c r="B551" s="8"/>
      <c r="C551" s="8"/>
      <c r="D551" s="8"/>
      <c r="E551" s="9"/>
      <c r="F551" s="13" t="str">
        <f aca="false">IF(A551="","",MONTH(A551))</f>
        <v/>
      </c>
    </row>
    <row r="552" customFormat="false" ht="15" hidden="false" customHeight="false" outlineLevel="0" collapsed="false">
      <c r="A552" s="12"/>
      <c r="B552" s="8"/>
      <c r="C552" s="8"/>
      <c r="D552" s="8"/>
      <c r="E552" s="9"/>
      <c r="F552" s="13" t="str">
        <f aca="false">IF(A552="","",MONTH(A552))</f>
        <v/>
      </c>
    </row>
    <row r="553" customFormat="false" ht="15" hidden="false" customHeight="false" outlineLevel="0" collapsed="false">
      <c r="A553" s="12"/>
      <c r="B553" s="8"/>
      <c r="C553" s="8"/>
      <c r="D553" s="8"/>
      <c r="E553" s="9"/>
      <c r="F553" s="13" t="str">
        <f aca="false">IF(A553="","",MONTH(A553))</f>
        <v/>
      </c>
    </row>
    <row r="554" customFormat="false" ht="15" hidden="false" customHeight="false" outlineLevel="0" collapsed="false">
      <c r="A554" s="12"/>
      <c r="B554" s="8"/>
      <c r="C554" s="8"/>
      <c r="D554" s="8"/>
      <c r="E554" s="9"/>
      <c r="F554" s="13" t="str">
        <f aca="false">IF(A554="","",MONTH(A554))</f>
        <v/>
      </c>
    </row>
    <row r="555" customFormat="false" ht="15" hidden="false" customHeight="false" outlineLevel="0" collapsed="false">
      <c r="A555" s="12"/>
      <c r="B555" s="8"/>
      <c r="C555" s="8"/>
      <c r="D555" s="8"/>
      <c r="E555" s="9"/>
      <c r="F555" s="13" t="str">
        <f aca="false">IF(A555="","",MONTH(A555))</f>
        <v/>
      </c>
    </row>
    <row r="556" customFormat="false" ht="15" hidden="false" customHeight="false" outlineLevel="0" collapsed="false">
      <c r="A556" s="12"/>
      <c r="B556" s="8"/>
      <c r="C556" s="8"/>
      <c r="D556" s="8"/>
      <c r="E556" s="9"/>
      <c r="F556" s="13" t="str">
        <f aca="false">IF(A556="","",MONTH(A556))</f>
        <v/>
      </c>
    </row>
    <row r="557" customFormat="false" ht="15" hidden="false" customHeight="false" outlineLevel="0" collapsed="false">
      <c r="A557" s="12"/>
      <c r="B557" s="8"/>
      <c r="C557" s="8"/>
      <c r="D557" s="8"/>
      <c r="E557" s="9"/>
      <c r="F557" s="13" t="str">
        <f aca="false">IF(A557="","",MONTH(A557))</f>
        <v/>
      </c>
    </row>
    <row r="558" customFormat="false" ht="15" hidden="false" customHeight="false" outlineLevel="0" collapsed="false">
      <c r="A558" s="12"/>
      <c r="B558" s="8"/>
      <c r="C558" s="8"/>
      <c r="D558" s="8"/>
      <c r="E558" s="9"/>
      <c r="F558" s="13" t="str">
        <f aca="false">IF(A558="","",MONTH(A558))</f>
        <v/>
      </c>
    </row>
    <row r="559" customFormat="false" ht="15" hidden="false" customHeight="false" outlineLevel="0" collapsed="false">
      <c r="A559" s="12"/>
      <c r="B559" s="8"/>
      <c r="C559" s="8"/>
      <c r="D559" s="8"/>
      <c r="E559" s="9"/>
      <c r="F559" s="13" t="str">
        <f aca="false">IF(A559="","",MONTH(A559))</f>
        <v/>
      </c>
    </row>
    <row r="560" customFormat="false" ht="15" hidden="false" customHeight="false" outlineLevel="0" collapsed="false">
      <c r="A560" s="12"/>
      <c r="B560" s="8"/>
      <c r="C560" s="8"/>
      <c r="D560" s="8"/>
      <c r="E560" s="9"/>
      <c r="F560" s="13" t="str">
        <f aca="false">IF(A560="","",MONTH(A560))</f>
        <v/>
      </c>
    </row>
    <row r="561" customFormat="false" ht="15" hidden="false" customHeight="false" outlineLevel="0" collapsed="false">
      <c r="A561" s="12"/>
      <c r="B561" s="8"/>
      <c r="C561" s="8"/>
      <c r="D561" s="8"/>
      <c r="E561" s="9"/>
      <c r="F561" s="13" t="str">
        <f aca="false">IF(A561="","",MONTH(A561))</f>
        <v/>
      </c>
    </row>
    <row r="562" customFormat="false" ht="15" hidden="false" customHeight="false" outlineLevel="0" collapsed="false">
      <c r="A562" s="12"/>
      <c r="B562" s="8"/>
      <c r="C562" s="8"/>
      <c r="D562" s="8"/>
      <c r="E562" s="9"/>
      <c r="F562" s="13" t="str">
        <f aca="false">IF(A562="","",MONTH(A562))</f>
        <v/>
      </c>
    </row>
    <row r="563" customFormat="false" ht="15" hidden="false" customHeight="false" outlineLevel="0" collapsed="false">
      <c r="A563" s="12"/>
      <c r="B563" s="8"/>
      <c r="C563" s="8"/>
      <c r="D563" s="8"/>
      <c r="E563" s="9"/>
      <c r="F563" s="13" t="str">
        <f aca="false">IF(A563="","",MONTH(A563))</f>
        <v/>
      </c>
    </row>
    <row r="564" customFormat="false" ht="15" hidden="false" customHeight="false" outlineLevel="0" collapsed="false">
      <c r="A564" s="12"/>
      <c r="B564" s="8"/>
      <c r="C564" s="8"/>
      <c r="D564" s="8"/>
      <c r="E564" s="9"/>
      <c r="F564" s="13" t="str">
        <f aca="false">IF(A564="","",MONTH(A564))</f>
        <v/>
      </c>
    </row>
    <row r="565" customFormat="false" ht="15" hidden="false" customHeight="false" outlineLevel="0" collapsed="false">
      <c r="A565" s="12"/>
      <c r="B565" s="8"/>
      <c r="C565" s="8"/>
      <c r="D565" s="8"/>
      <c r="E565" s="9"/>
      <c r="F565" s="13" t="str">
        <f aca="false">IF(A565="","",MONTH(A565))</f>
        <v/>
      </c>
    </row>
    <row r="566" customFormat="false" ht="15" hidden="false" customHeight="false" outlineLevel="0" collapsed="false">
      <c r="A566" s="12"/>
      <c r="B566" s="8"/>
      <c r="C566" s="8"/>
      <c r="D566" s="8"/>
      <c r="E566" s="9"/>
      <c r="F566" s="13" t="str">
        <f aca="false">IF(A566="","",MONTH(A566))</f>
        <v/>
      </c>
    </row>
    <row r="567" customFormat="false" ht="15" hidden="false" customHeight="false" outlineLevel="0" collapsed="false">
      <c r="A567" s="12"/>
      <c r="B567" s="8"/>
      <c r="C567" s="8"/>
      <c r="D567" s="8"/>
      <c r="E567" s="9"/>
      <c r="F567" s="13" t="str">
        <f aca="false">IF(A567="","",MONTH(A567))</f>
        <v/>
      </c>
    </row>
    <row r="568" customFormat="false" ht="15" hidden="false" customHeight="false" outlineLevel="0" collapsed="false">
      <c r="A568" s="12"/>
      <c r="B568" s="8"/>
      <c r="C568" s="8"/>
      <c r="D568" s="8"/>
      <c r="E568" s="9"/>
      <c r="F568" s="13" t="str">
        <f aca="false">IF(A568="","",MONTH(A568))</f>
        <v/>
      </c>
    </row>
    <row r="569" customFormat="false" ht="15" hidden="false" customHeight="false" outlineLevel="0" collapsed="false">
      <c r="A569" s="12"/>
      <c r="B569" s="8"/>
      <c r="C569" s="8"/>
      <c r="D569" s="8"/>
      <c r="E569" s="9"/>
      <c r="F569" s="13" t="str">
        <f aca="false">IF(A569="","",MONTH(A569))</f>
        <v/>
      </c>
    </row>
    <row r="570" customFormat="false" ht="15" hidden="false" customHeight="false" outlineLevel="0" collapsed="false">
      <c r="A570" s="12"/>
      <c r="B570" s="8"/>
      <c r="C570" s="8"/>
      <c r="D570" s="8"/>
      <c r="E570" s="9"/>
      <c r="F570" s="13" t="str">
        <f aca="false">IF(A570="","",MONTH(A570))</f>
        <v/>
      </c>
    </row>
    <row r="571" customFormat="false" ht="15" hidden="false" customHeight="false" outlineLevel="0" collapsed="false">
      <c r="A571" s="12"/>
      <c r="B571" s="8"/>
      <c r="C571" s="8"/>
      <c r="D571" s="8"/>
      <c r="E571" s="9"/>
      <c r="F571" s="13" t="str">
        <f aca="false">IF(A571="","",MONTH(A571))</f>
        <v/>
      </c>
    </row>
    <row r="572" customFormat="false" ht="15" hidden="false" customHeight="false" outlineLevel="0" collapsed="false">
      <c r="A572" s="12"/>
      <c r="B572" s="8"/>
      <c r="C572" s="8"/>
      <c r="D572" s="8"/>
      <c r="E572" s="9"/>
      <c r="F572" s="13" t="str">
        <f aca="false">IF(A572="","",MONTH(A572))</f>
        <v/>
      </c>
    </row>
    <row r="573" customFormat="false" ht="15" hidden="false" customHeight="false" outlineLevel="0" collapsed="false">
      <c r="A573" s="12"/>
      <c r="B573" s="8"/>
      <c r="C573" s="8"/>
      <c r="D573" s="8"/>
      <c r="E573" s="9"/>
      <c r="F573" s="13" t="str">
        <f aca="false">IF(A573="","",MONTH(A573))</f>
        <v/>
      </c>
    </row>
    <row r="574" customFormat="false" ht="15" hidden="false" customHeight="false" outlineLevel="0" collapsed="false">
      <c r="A574" s="12"/>
      <c r="B574" s="8"/>
      <c r="C574" s="8"/>
      <c r="D574" s="8"/>
      <c r="E574" s="9"/>
      <c r="F574" s="13" t="str">
        <f aca="false">IF(A574="","",MONTH(A574))</f>
        <v/>
      </c>
    </row>
    <row r="575" customFormat="false" ht="15" hidden="false" customHeight="false" outlineLevel="0" collapsed="false">
      <c r="A575" s="12"/>
      <c r="B575" s="8"/>
      <c r="C575" s="8"/>
      <c r="D575" s="8"/>
      <c r="E575" s="9"/>
      <c r="F575" s="13" t="str">
        <f aca="false">IF(A575="","",MONTH(A575))</f>
        <v/>
      </c>
    </row>
    <row r="576" customFormat="false" ht="15" hidden="false" customHeight="false" outlineLevel="0" collapsed="false">
      <c r="A576" s="12"/>
      <c r="B576" s="8"/>
      <c r="C576" s="8"/>
      <c r="D576" s="8"/>
      <c r="E576" s="9"/>
      <c r="F576" s="13" t="str">
        <f aca="false">IF(A576="","",MONTH(A576))</f>
        <v/>
      </c>
    </row>
    <row r="577" customFormat="false" ht="15" hidden="false" customHeight="false" outlineLevel="0" collapsed="false">
      <c r="A577" s="12"/>
      <c r="B577" s="8"/>
      <c r="C577" s="8"/>
      <c r="D577" s="8"/>
      <c r="E577" s="9"/>
      <c r="F577" s="13" t="str">
        <f aca="false">IF(A577="","",MONTH(A577))</f>
        <v/>
      </c>
    </row>
    <row r="578" customFormat="false" ht="15" hidden="false" customHeight="false" outlineLevel="0" collapsed="false">
      <c r="A578" s="12"/>
      <c r="B578" s="8"/>
      <c r="C578" s="8"/>
      <c r="D578" s="8"/>
      <c r="E578" s="9"/>
      <c r="F578" s="13" t="str">
        <f aca="false">IF(A578="","",MONTH(A578))</f>
        <v/>
      </c>
    </row>
    <row r="579" customFormat="false" ht="15" hidden="false" customHeight="false" outlineLevel="0" collapsed="false">
      <c r="A579" s="12"/>
      <c r="B579" s="8"/>
      <c r="C579" s="8"/>
      <c r="D579" s="8"/>
      <c r="E579" s="9"/>
      <c r="F579" s="13" t="str">
        <f aca="false">IF(A579="","",MONTH(A579))</f>
        <v/>
      </c>
    </row>
    <row r="580" customFormat="false" ht="15" hidden="false" customHeight="false" outlineLevel="0" collapsed="false">
      <c r="A580" s="12"/>
      <c r="B580" s="8"/>
      <c r="C580" s="8"/>
      <c r="D580" s="8"/>
      <c r="E580" s="9"/>
      <c r="F580" s="13" t="str">
        <f aca="false">IF(A580="","",MONTH(A580))</f>
        <v/>
      </c>
    </row>
    <row r="581" customFormat="false" ht="15" hidden="false" customHeight="false" outlineLevel="0" collapsed="false">
      <c r="A581" s="12"/>
      <c r="B581" s="8"/>
      <c r="C581" s="8"/>
      <c r="D581" s="8"/>
      <c r="E581" s="9"/>
      <c r="F581" s="13" t="str">
        <f aca="false">IF(A581="","",MONTH(A581))</f>
        <v/>
      </c>
    </row>
    <row r="582" customFormat="false" ht="15" hidden="false" customHeight="false" outlineLevel="0" collapsed="false">
      <c r="A582" s="12"/>
      <c r="B582" s="8"/>
      <c r="C582" s="8"/>
      <c r="D582" s="8"/>
      <c r="E582" s="9"/>
      <c r="F582" s="13" t="str">
        <f aca="false">IF(A582="","",MONTH(A582))</f>
        <v/>
      </c>
    </row>
    <row r="583" customFormat="false" ht="15" hidden="false" customHeight="false" outlineLevel="0" collapsed="false">
      <c r="A583" s="12"/>
      <c r="B583" s="8"/>
      <c r="C583" s="8"/>
      <c r="D583" s="8"/>
      <c r="E583" s="9"/>
      <c r="F583" s="13" t="str">
        <f aca="false">IF(A583="","",MONTH(A583))</f>
        <v/>
      </c>
    </row>
    <row r="584" customFormat="false" ht="15" hidden="false" customHeight="false" outlineLevel="0" collapsed="false">
      <c r="A584" s="12"/>
      <c r="B584" s="8"/>
      <c r="C584" s="8"/>
      <c r="D584" s="8"/>
      <c r="E584" s="9"/>
      <c r="F584" s="13" t="str">
        <f aca="false">IF(A584="","",MONTH(A584))</f>
        <v/>
      </c>
    </row>
    <row r="585" customFormat="false" ht="15" hidden="false" customHeight="false" outlineLevel="0" collapsed="false">
      <c r="A585" s="12"/>
      <c r="B585" s="8"/>
      <c r="C585" s="8"/>
      <c r="D585" s="8"/>
      <c r="E585" s="9"/>
      <c r="F585" s="13" t="str">
        <f aca="false">IF(A585="","",MONTH(A585))</f>
        <v/>
      </c>
    </row>
    <row r="586" customFormat="false" ht="15" hidden="false" customHeight="false" outlineLevel="0" collapsed="false">
      <c r="A586" s="12"/>
      <c r="B586" s="8"/>
      <c r="C586" s="8"/>
      <c r="D586" s="8"/>
      <c r="E586" s="9"/>
      <c r="F586" s="13" t="str">
        <f aca="false">IF(A586="","",MONTH(A586))</f>
        <v/>
      </c>
    </row>
    <row r="587" customFormat="false" ht="15" hidden="false" customHeight="false" outlineLevel="0" collapsed="false">
      <c r="A587" s="12"/>
      <c r="B587" s="8"/>
      <c r="C587" s="8"/>
      <c r="D587" s="8"/>
      <c r="E587" s="9"/>
      <c r="F587" s="13" t="str">
        <f aca="false">IF(A587="","",MONTH(A587))</f>
        <v/>
      </c>
    </row>
    <row r="588" customFormat="false" ht="15" hidden="false" customHeight="false" outlineLevel="0" collapsed="false">
      <c r="A588" s="12"/>
      <c r="B588" s="8"/>
      <c r="C588" s="8"/>
      <c r="D588" s="8"/>
      <c r="E588" s="9"/>
      <c r="F588" s="13" t="str">
        <f aca="false">IF(A588="","",MONTH(A588))</f>
        <v/>
      </c>
    </row>
    <row r="589" customFormat="false" ht="15" hidden="false" customHeight="false" outlineLevel="0" collapsed="false">
      <c r="A589" s="12"/>
      <c r="B589" s="8"/>
      <c r="C589" s="8"/>
      <c r="D589" s="8"/>
      <c r="E589" s="9"/>
      <c r="F589" s="13" t="str">
        <f aca="false">IF(A589="","",MONTH(A589))</f>
        <v/>
      </c>
    </row>
    <row r="590" customFormat="false" ht="15" hidden="false" customHeight="false" outlineLevel="0" collapsed="false">
      <c r="A590" s="12"/>
      <c r="B590" s="8"/>
      <c r="C590" s="8"/>
      <c r="D590" s="8"/>
      <c r="E590" s="9"/>
      <c r="F590" s="13" t="str">
        <f aca="false">IF(A590="","",MONTH(A590))</f>
        <v/>
      </c>
    </row>
    <row r="591" customFormat="false" ht="15" hidden="false" customHeight="false" outlineLevel="0" collapsed="false">
      <c r="A591" s="12"/>
      <c r="B591" s="8"/>
      <c r="C591" s="8"/>
      <c r="D591" s="8"/>
      <c r="E591" s="9"/>
      <c r="F591" s="13" t="str">
        <f aca="false">IF(A591="","",MONTH(A591))</f>
        <v/>
      </c>
    </row>
    <row r="592" customFormat="false" ht="15" hidden="false" customHeight="false" outlineLevel="0" collapsed="false">
      <c r="A592" s="12"/>
      <c r="B592" s="8"/>
      <c r="C592" s="8"/>
      <c r="D592" s="8"/>
      <c r="E592" s="9"/>
      <c r="F592" s="13" t="str">
        <f aca="false">IF(A592="","",MONTH(A592))</f>
        <v/>
      </c>
    </row>
    <row r="593" customFormat="false" ht="15" hidden="false" customHeight="false" outlineLevel="0" collapsed="false">
      <c r="A593" s="12"/>
      <c r="B593" s="8"/>
      <c r="C593" s="8"/>
      <c r="D593" s="8"/>
      <c r="E593" s="9"/>
      <c r="F593" s="13" t="str">
        <f aca="false">IF(A593="","",MONTH(A593))</f>
        <v/>
      </c>
    </row>
    <row r="594" customFormat="false" ht="15" hidden="false" customHeight="false" outlineLevel="0" collapsed="false">
      <c r="A594" s="12"/>
      <c r="B594" s="8"/>
      <c r="C594" s="8"/>
      <c r="D594" s="8"/>
      <c r="E594" s="9"/>
      <c r="F594" s="13" t="str">
        <f aca="false">IF(A594="","",MONTH(A594))</f>
        <v/>
      </c>
    </row>
    <row r="595" customFormat="false" ht="15" hidden="false" customHeight="false" outlineLevel="0" collapsed="false">
      <c r="A595" s="12"/>
      <c r="B595" s="8"/>
      <c r="C595" s="8"/>
      <c r="D595" s="8"/>
      <c r="E595" s="9"/>
      <c r="F595" s="13" t="str">
        <f aca="false">IF(A595="","",MONTH(A595))</f>
        <v/>
      </c>
    </row>
    <row r="596" customFormat="false" ht="15" hidden="false" customHeight="false" outlineLevel="0" collapsed="false">
      <c r="A596" s="12"/>
      <c r="B596" s="8"/>
      <c r="C596" s="8"/>
      <c r="D596" s="8"/>
      <c r="E596" s="9"/>
      <c r="F596" s="13" t="str">
        <f aca="false">IF(A596="","",MONTH(A596))</f>
        <v/>
      </c>
    </row>
    <row r="597" customFormat="false" ht="15" hidden="false" customHeight="false" outlineLevel="0" collapsed="false">
      <c r="A597" s="12"/>
      <c r="B597" s="8"/>
      <c r="C597" s="8"/>
      <c r="D597" s="8"/>
      <c r="E597" s="9"/>
      <c r="F597" s="13" t="str">
        <f aca="false">IF(A597="","",MONTH(A597))</f>
        <v/>
      </c>
    </row>
    <row r="598" customFormat="false" ht="15" hidden="false" customHeight="false" outlineLevel="0" collapsed="false">
      <c r="A598" s="12"/>
      <c r="B598" s="8"/>
      <c r="C598" s="8"/>
      <c r="D598" s="8"/>
      <c r="E598" s="9"/>
      <c r="F598" s="13" t="str">
        <f aca="false">IF(A598="","",MONTH(A598))</f>
        <v/>
      </c>
    </row>
    <row r="599" customFormat="false" ht="15" hidden="false" customHeight="false" outlineLevel="0" collapsed="false">
      <c r="A599" s="12"/>
      <c r="B599" s="8"/>
      <c r="C599" s="8"/>
      <c r="D599" s="8"/>
      <c r="E599" s="9"/>
      <c r="F599" s="13" t="str">
        <f aca="false">IF(A599="","",MONTH(A599))</f>
        <v/>
      </c>
    </row>
    <row r="600" customFormat="false" ht="15" hidden="false" customHeight="false" outlineLevel="0" collapsed="false">
      <c r="A600" s="12"/>
      <c r="B600" s="8"/>
      <c r="C600" s="8"/>
      <c r="D600" s="8"/>
      <c r="E600" s="9"/>
      <c r="F600" s="13" t="str">
        <f aca="false">IF(A600="","",MONTH(A600))</f>
        <v/>
      </c>
    </row>
    <row r="601" customFormat="false" ht="15" hidden="false" customHeight="false" outlineLevel="0" collapsed="false">
      <c r="A601" s="12"/>
      <c r="B601" s="8"/>
      <c r="C601" s="8"/>
      <c r="D601" s="8"/>
      <c r="E601" s="9"/>
      <c r="F601" s="13" t="str">
        <f aca="false">IF(A601="","",MONTH(A601))</f>
        <v/>
      </c>
    </row>
    <row r="602" customFormat="false" ht="15" hidden="false" customHeight="false" outlineLevel="0" collapsed="false">
      <c r="A602" s="12"/>
      <c r="B602" s="8"/>
      <c r="C602" s="8"/>
      <c r="D602" s="8"/>
      <c r="E602" s="9"/>
      <c r="F602" s="13" t="str">
        <f aca="false">IF(A602="","",MONTH(A602))</f>
        <v/>
      </c>
    </row>
    <row r="603" customFormat="false" ht="15" hidden="false" customHeight="false" outlineLevel="0" collapsed="false">
      <c r="A603" s="12"/>
      <c r="B603" s="8"/>
      <c r="C603" s="8"/>
      <c r="D603" s="8"/>
      <c r="E603" s="9"/>
      <c r="F603" s="13" t="str">
        <f aca="false">IF(A603="","",MONTH(A603))</f>
        <v/>
      </c>
    </row>
    <row r="604" customFormat="false" ht="15" hidden="false" customHeight="false" outlineLevel="0" collapsed="false">
      <c r="A604" s="12"/>
      <c r="B604" s="8"/>
      <c r="C604" s="8"/>
      <c r="D604" s="8"/>
      <c r="E604" s="9"/>
      <c r="F604" s="13" t="str">
        <f aca="false">IF(A604="","",MONTH(A604))</f>
        <v/>
      </c>
    </row>
    <row r="605" customFormat="false" ht="15" hidden="false" customHeight="false" outlineLevel="0" collapsed="false">
      <c r="A605" s="12"/>
      <c r="B605" s="8"/>
      <c r="C605" s="8"/>
      <c r="D605" s="8"/>
      <c r="E605" s="9"/>
      <c r="F605" s="13" t="str">
        <f aca="false">IF(A605="","",MONTH(A605))</f>
        <v/>
      </c>
    </row>
    <row r="606" customFormat="false" ht="15" hidden="false" customHeight="false" outlineLevel="0" collapsed="false">
      <c r="A606" s="12"/>
      <c r="B606" s="8"/>
      <c r="C606" s="8"/>
      <c r="D606" s="8"/>
      <c r="E606" s="9"/>
      <c r="F606" s="13" t="str">
        <f aca="false">IF(A606="","",MONTH(A606))</f>
        <v/>
      </c>
    </row>
    <row r="607" customFormat="false" ht="15" hidden="false" customHeight="false" outlineLevel="0" collapsed="false">
      <c r="A607" s="12"/>
      <c r="B607" s="8"/>
      <c r="C607" s="8"/>
      <c r="D607" s="8"/>
      <c r="E607" s="9"/>
      <c r="F607" s="13" t="str">
        <f aca="false">IF(A607="","",MONTH(A607))</f>
        <v/>
      </c>
    </row>
    <row r="608" customFormat="false" ht="15" hidden="false" customHeight="false" outlineLevel="0" collapsed="false">
      <c r="A608" s="12"/>
      <c r="B608" s="8"/>
      <c r="C608" s="8"/>
      <c r="D608" s="8"/>
      <c r="E608" s="9"/>
      <c r="F608" s="13" t="str">
        <f aca="false">IF(A608="","",MONTH(A608))</f>
        <v/>
      </c>
    </row>
    <row r="609" customFormat="false" ht="15" hidden="false" customHeight="false" outlineLevel="0" collapsed="false">
      <c r="A609" s="12"/>
      <c r="B609" s="8"/>
      <c r="C609" s="8"/>
      <c r="D609" s="8"/>
      <c r="E609" s="9"/>
      <c r="F609" s="13" t="str">
        <f aca="false">IF(A609="","",MONTH(A609))</f>
        <v/>
      </c>
    </row>
    <row r="610" customFormat="false" ht="15" hidden="false" customHeight="false" outlineLevel="0" collapsed="false">
      <c r="A610" s="12"/>
      <c r="B610" s="8"/>
      <c r="C610" s="8"/>
      <c r="D610" s="8"/>
      <c r="E610" s="9"/>
      <c r="F610" s="13" t="str">
        <f aca="false">IF(A610="","",MONTH(A610))</f>
        <v/>
      </c>
    </row>
    <row r="611" customFormat="false" ht="15" hidden="false" customHeight="false" outlineLevel="0" collapsed="false">
      <c r="A611" s="12"/>
      <c r="B611" s="8"/>
      <c r="C611" s="8"/>
      <c r="D611" s="8"/>
      <c r="E611" s="9"/>
      <c r="F611" s="13" t="str">
        <f aca="false">IF(A611="","",MONTH(A611))</f>
        <v/>
      </c>
    </row>
    <row r="612" customFormat="false" ht="15" hidden="false" customHeight="false" outlineLevel="0" collapsed="false">
      <c r="A612" s="12"/>
      <c r="B612" s="8"/>
      <c r="C612" s="8"/>
      <c r="D612" s="8"/>
      <c r="E612" s="9"/>
      <c r="F612" s="13" t="str">
        <f aca="false">IF(A612="","",MONTH(A612))</f>
        <v/>
      </c>
    </row>
    <row r="613" customFormat="false" ht="15" hidden="false" customHeight="false" outlineLevel="0" collapsed="false">
      <c r="A613" s="12"/>
      <c r="B613" s="8"/>
      <c r="C613" s="8"/>
      <c r="D613" s="8"/>
      <c r="E613" s="9"/>
      <c r="F613" s="13" t="str">
        <f aca="false">IF(A613="","",MONTH(A613))</f>
        <v/>
      </c>
    </row>
    <row r="614" customFormat="false" ht="15" hidden="false" customHeight="false" outlineLevel="0" collapsed="false">
      <c r="A614" s="12"/>
      <c r="B614" s="8"/>
      <c r="C614" s="8"/>
      <c r="D614" s="8"/>
      <c r="E614" s="9"/>
      <c r="F614" s="13" t="str">
        <f aca="false">IF(A614="","",MONTH(A614))</f>
        <v/>
      </c>
    </row>
    <row r="615" customFormat="false" ht="15" hidden="false" customHeight="false" outlineLevel="0" collapsed="false">
      <c r="A615" s="12"/>
      <c r="B615" s="8"/>
      <c r="C615" s="8"/>
      <c r="D615" s="8"/>
      <c r="E615" s="9"/>
      <c r="F615" s="13" t="str">
        <f aca="false">IF(A615="","",MONTH(A615))</f>
        <v/>
      </c>
    </row>
    <row r="616" customFormat="false" ht="15" hidden="false" customHeight="false" outlineLevel="0" collapsed="false">
      <c r="A616" s="12"/>
      <c r="B616" s="8"/>
      <c r="C616" s="8"/>
      <c r="D616" s="8"/>
      <c r="E616" s="9"/>
      <c r="F616" s="13" t="str">
        <f aca="false">IF(A616="","",MONTH(A616))</f>
        <v/>
      </c>
    </row>
    <row r="617" customFormat="false" ht="15" hidden="false" customHeight="false" outlineLevel="0" collapsed="false">
      <c r="A617" s="12"/>
      <c r="B617" s="8"/>
      <c r="C617" s="8"/>
      <c r="D617" s="8"/>
      <c r="E617" s="9"/>
      <c r="F617" s="13" t="str">
        <f aca="false">IF(A617="","",MONTH(A617))</f>
        <v/>
      </c>
    </row>
    <row r="618" customFormat="false" ht="15" hidden="false" customHeight="false" outlineLevel="0" collapsed="false">
      <c r="A618" s="12"/>
      <c r="B618" s="8"/>
      <c r="C618" s="8"/>
      <c r="D618" s="8"/>
      <c r="E618" s="9"/>
      <c r="F618" s="13" t="str">
        <f aca="false">IF(A618="","",MONTH(A618))</f>
        <v/>
      </c>
    </row>
    <row r="619" customFormat="false" ht="15" hidden="false" customHeight="false" outlineLevel="0" collapsed="false">
      <c r="A619" s="12"/>
      <c r="B619" s="8"/>
      <c r="C619" s="8"/>
      <c r="D619" s="8"/>
      <c r="E619" s="9"/>
      <c r="F619" s="13" t="str">
        <f aca="false">IF(A619="","",MONTH(A619))</f>
        <v/>
      </c>
    </row>
    <row r="620" customFormat="false" ht="15" hidden="false" customHeight="false" outlineLevel="0" collapsed="false">
      <c r="A620" s="12"/>
      <c r="B620" s="8"/>
      <c r="C620" s="8"/>
      <c r="D620" s="8"/>
      <c r="E620" s="9"/>
      <c r="F620" s="13" t="str">
        <f aca="false">IF(A620="","",MONTH(A620))</f>
        <v/>
      </c>
    </row>
    <row r="621" customFormat="false" ht="15" hidden="false" customHeight="false" outlineLevel="0" collapsed="false">
      <c r="A621" s="12"/>
      <c r="B621" s="8"/>
      <c r="C621" s="8"/>
      <c r="D621" s="8"/>
      <c r="E621" s="9"/>
      <c r="F621" s="13" t="str">
        <f aca="false">IF(A621="","",MONTH(A621))</f>
        <v/>
      </c>
    </row>
    <row r="622" customFormat="false" ht="15" hidden="false" customHeight="false" outlineLevel="0" collapsed="false">
      <c r="A622" s="12"/>
      <c r="B622" s="8"/>
      <c r="C622" s="8"/>
      <c r="D622" s="8"/>
      <c r="E622" s="9"/>
      <c r="F622" s="13" t="str">
        <f aca="false">IF(A622="","",MONTH(A622))</f>
        <v/>
      </c>
    </row>
    <row r="623" customFormat="false" ht="15" hidden="false" customHeight="false" outlineLevel="0" collapsed="false">
      <c r="A623" s="12"/>
      <c r="B623" s="8"/>
      <c r="C623" s="8"/>
      <c r="D623" s="8"/>
      <c r="E623" s="9"/>
      <c r="F623" s="13" t="str">
        <f aca="false">IF(A623="","",MONTH(A623))</f>
        <v/>
      </c>
    </row>
    <row r="624" customFormat="false" ht="15" hidden="false" customHeight="false" outlineLevel="0" collapsed="false">
      <c r="A624" s="12"/>
      <c r="B624" s="8"/>
      <c r="C624" s="8"/>
      <c r="D624" s="8"/>
      <c r="E624" s="9"/>
      <c r="F624" s="13" t="str">
        <f aca="false">IF(A624="","",MONTH(A624))</f>
        <v/>
      </c>
    </row>
    <row r="625" customFormat="false" ht="15" hidden="false" customHeight="false" outlineLevel="0" collapsed="false">
      <c r="A625" s="12"/>
      <c r="B625" s="8"/>
      <c r="C625" s="8"/>
      <c r="D625" s="8"/>
      <c r="E625" s="9"/>
      <c r="F625" s="13" t="str">
        <f aca="false">IF(A625="","",MONTH(A625))</f>
        <v/>
      </c>
    </row>
    <row r="626" customFormat="false" ht="15" hidden="false" customHeight="false" outlineLevel="0" collapsed="false">
      <c r="A626" s="12"/>
      <c r="B626" s="8"/>
      <c r="C626" s="8"/>
      <c r="D626" s="8"/>
      <c r="E626" s="9"/>
      <c r="F626" s="13" t="str">
        <f aca="false">IF(A626="","",MONTH(A626))</f>
        <v/>
      </c>
    </row>
    <row r="627" customFormat="false" ht="15" hidden="false" customHeight="false" outlineLevel="0" collapsed="false">
      <c r="A627" s="12"/>
      <c r="B627" s="8"/>
      <c r="C627" s="8"/>
      <c r="D627" s="8"/>
      <c r="E627" s="9"/>
      <c r="F627" s="13" t="str">
        <f aca="false">IF(A627="","",MONTH(A627))</f>
        <v/>
      </c>
    </row>
    <row r="628" customFormat="false" ht="15" hidden="false" customHeight="false" outlineLevel="0" collapsed="false">
      <c r="A628" s="12"/>
      <c r="B628" s="8"/>
      <c r="C628" s="8"/>
      <c r="D628" s="8"/>
      <c r="E628" s="9"/>
      <c r="F628" s="13" t="str">
        <f aca="false">IF(A628="","",MONTH(A628))</f>
        <v/>
      </c>
    </row>
    <row r="629" customFormat="false" ht="15" hidden="false" customHeight="false" outlineLevel="0" collapsed="false">
      <c r="A629" s="12"/>
      <c r="B629" s="8"/>
      <c r="C629" s="8"/>
      <c r="D629" s="8"/>
      <c r="E629" s="9"/>
      <c r="F629" s="13" t="str">
        <f aca="false">IF(A629="","",MONTH(A629))</f>
        <v/>
      </c>
    </row>
    <row r="630" customFormat="false" ht="15" hidden="false" customHeight="false" outlineLevel="0" collapsed="false">
      <c r="A630" s="12"/>
      <c r="B630" s="8"/>
      <c r="C630" s="8"/>
      <c r="D630" s="8"/>
      <c r="E630" s="9"/>
      <c r="F630" s="13" t="str">
        <f aca="false">IF(A630="","",MONTH(A630))</f>
        <v/>
      </c>
    </row>
    <row r="631" customFormat="false" ht="15" hidden="false" customHeight="false" outlineLevel="0" collapsed="false">
      <c r="A631" s="12"/>
      <c r="B631" s="8"/>
      <c r="C631" s="8"/>
      <c r="D631" s="8"/>
      <c r="E631" s="9"/>
      <c r="F631" s="13" t="str">
        <f aca="false">IF(A631="","",MONTH(A631))</f>
        <v/>
      </c>
    </row>
    <row r="632" customFormat="false" ht="15" hidden="false" customHeight="false" outlineLevel="0" collapsed="false">
      <c r="A632" s="12"/>
      <c r="B632" s="8"/>
      <c r="C632" s="8"/>
      <c r="D632" s="8"/>
      <c r="E632" s="9"/>
      <c r="F632" s="13" t="str">
        <f aca="false">IF(A632="","",MONTH(A632))</f>
        <v/>
      </c>
    </row>
    <row r="633" customFormat="false" ht="15" hidden="false" customHeight="false" outlineLevel="0" collapsed="false">
      <c r="A633" s="12"/>
      <c r="B633" s="8"/>
      <c r="C633" s="8"/>
      <c r="D633" s="8"/>
      <c r="E633" s="9"/>
      <c r="F633" s="13" t="str">
        <f aca="false">IF(A633="","",MONTH(A633))</f>
        <v/>
      </c>
    </row>
    <row r="634" customFormat="false" ht="15" hidden="false" customHeight="false" outlineLevel="0" collapsed="false">
      <c r="A634" s="12"/>
      <c r="B634" s="8"/>
      <c r="C634" s="8"/>
      <c r="D634" s="8"/>
      <c r="E634" s="9"/>
      <c r="F634" s="13" t="str">
        <f aca="false">IF(A634="","",MONTH(A634))</f>
        <v/>
      </c>
    </row>
    <row r="635" customFormat="false" ht="15" hidden="false" customHeight="false" outlineLevel="0" collapsed="false">
      <c r="A635" s="12"/>
      <c r="B635" s="8"/>
      <c r="C635" s="8"/>
      <c r="D635" s="8"/>
      <c r="E635" s="9"/>
      <c r="F635" s="13" t="str">
        <f aca="false">IF(A635="","",MONTH(A635))</f>
        <v/>
      </c>
    </row>
    <row r="636" customFormat="false" ht="15" hidden="false" customHeight="false" outlineLevel="0" collapsed="false">
      <c r="A636" s="12"/>
      <c r="B636" s="8"/>
      <c r="C636" s="8"/>
      <c r="D636" s="8"/>
      <c r="E636" s="9"/>
      <c r="F636" s="13" t="str">
        <f aca="false">IF(A636="","",MONTH(A636))</f>
        <v/>
      </c>
    </row>
    <row r="637" customFormat="false" ht="15" hidden="false" customHeight="false" outlineLevel="0" collapsed="false">
      <c r="A637" s="12"/>
      <c r="B637" s="8"/>
      <c r="C637" s="8"/>
      <c r="D637" s="8"/>
      <c r="E637" s="9"/>
      <c r="F637" s="13" t="str">
        <f aca="false">IF(A637="","",MONTH(A637))</f>
        <v/>
      </c>
    </row>
    <row r="638" customFormat="false" ht="15" hidden="false" customHeight="false" outlineLevel="0" collapsed="false">
      <c r="A638" s="12"/>
      <c r="B638" s="8"/>
      <c r="C638" s="8"/>
      <c r="D638" s="8"/>
      <c r="E638" s="9"/>
      <c r="F638" s="13" t="str">
        <f aca="false">IF(A638="","",MONTH(A638))</f>
        <v/>
      </c>
    </row>
    <row r="639" customFormat="false" ht="15" hidden="false" customHeight="false" outlineLevel="0" collapsed="false">
      <c r="A639" s="12"/>
      <c r="B639" s="8"/>
      <c r="C639" s="8"/>
      <c r="D639" s="8"/>
      <c r="E639" s="9"/>
      <c r="F639" s="13" t="str">
        <f aca="false">IF(A639="","",MONTH(A639))</f>
        <v/>
      </c>
    </row>
    <row r="640" customFormat="false" ht="15" hidden="false" customHeight="false" outlineLevel="0" collapsed="false">
      <c r="A640" s="12"/>
      <c r="B640" s="8"/>
      <c r="C640" s="8"/>
      <c r="D640" s="8"/>
      <c r="E640" s="9"/>
      <c r="F640" s="13" t="str">
        <f aca="false">IF(A640="","",MONTH(A640))</f>
        <v/>
      </c>
    </row>
    <row r="641" customFormat="false" ht="15" hidden="false" customHeight="false" outlineLevel="0" collapsed="false">
      <c r="A641" s="12"/>
      <c r="B641" s="8"/>
      <c r="C641" s="8"/>
      <c r="D641" s="8"/>
      <c r="E641" s="9"/>
      <c r="F641" s="13" t="str">
        <f aca="false">IF(A641="","",MONTH(A641))</f>
        <v/>
      </c>
    </row>
    <row r="642" customFormat="false" ht="15" hidden="false" customHeight="false" outlineLevel="0" collapsed="false">
      <c r="A642" s="12"/>
      <c r="B642" s="8"/>
      <c r="C642" s="8"/>
      <c r="D642" s="8"/>
      <c r="E642" s="9"/>
      <c r="F642" s="13" t="str">
        <f aca="false">IF(A642="","",MONTH(A642))</f>
        <v/>
      </c>
    </row>
    <row r="643" customFormat="false" ht="15" hidden="false" customHeight="false" outlineLevel="0" collapsed="false">
      <c r="A643" s="12"/>
      <c r="B643" s="8"/>
      <c r="C643" s="8"/>
      <c r="D643" s="8"/>
      <c r="E643" s="9"/>
      <c r="F643" s="13" t="str">
        <f aca="false">IF(A643="","",MONTH(A643))</f>
        <v/>
      </c>
    </row>
    <row r="644" customFormat="false" ht="15" hidden="false" customHeight="false" outlineLevel="0" collapsed="false">
      <c r="A644" s="12"/>
      <c r="B644" s="8"/>
      <c r="C644" s="8"/>
      <c r="D644" s="8"/>
      <c r="E644" s="9"/>
      <c r="F644" s="13" t="str">
        <f aca="false">IF(A644="","",MONTH(A644))</f>
        <v/>
      </c>
    </row>
    <row r="645" customFormat="false" ht="15" hidden="false" customHeight="false" outlineLevel="0" collapsed="false">
      <c r="A645" s="12"/>
      <c r="B645" s="8"/>
      <c r="C645" s="8"/>
      <c r="D645" s="8"/>
      <c r="E645" s="9"/>
      <c r="F645" s="13" t="str">
        <f aca="false">IF(A645="","",MONTH(A645))</f>
        <v/>
      </c>
    </row>
    <row r="646" customFormat="false" ht="15" hidden="false" customHeight="false" outlineLevel="0" collapsed="false">
      <c r="A646" s="12"/>
      <c r="B646" s="8"/>
      <c r="C646" s="8"/>
      <c r="D646" s="8"/>
      <c r="E646" s="9"/>
      <c r="F646" s="13" t="str">
        <f aca="false">IF(A646="","",MONTH(A646))</f>
        <v/>
      </c>
    </row>
    <row r="647" customFormat="false" ht="15" hidden="false" customHeight="false" outlineLevel="0" collapsed="false">
      <c r="A647" s="12"/>
      <c r="B647" s="8"/>
      <c r="C647" s="8"/>
      <c r="D647" s="8"/>
      <c r="E647" s="9"/>
      <c r="F647" s="13" t="str">
        <f aca="false">IF(A647="","",MONTH(A647))</f>
        <v/>
      </c>
    </row>
    <row r="648" customFormat="false" ht="15" hidden="false" customHeight="false" outlineLevel="0" collapsed="false">
      <c r="A648" s="12"/>
      <c r="B648" s="8"/>
      <c r="C648" s="8"/>
      <c r="D648" s="8"/>
      <c r="E648" s="9"/>
      <c r="F648" s="13" t="str">
        <f aca="false">IF(A648="","",MONTH(A648))</f>
        <v/>
      </c>
    </row>
    <row r="649" customFormat="false" ht="15" hidden="false" customHeight="false" outlineLevel="0" collapsed="false">
      <c r="A649" s="12"/>
      <c r="B649" s="8"/>
      <c r="C649" s="8"/>
      <c r="D649" s="8"/>
      <c r="E649" s="9"/>
      <c r="F649" s="13" t="str">
        <f aca="false">IF(A649="","",MONTH(A649))</f>
        <v/>
      </c>
    </row>
    <row r="650" customFormat="false" ht="15" hidden="false" customHeight="false" outlineLevel="0" collapsed="false">
      <c r="A650" s="12"/>
      <c r="B650" s="8"/>
      <c r="C650" s="8"/>
      <c r="D650" s="8"/>
      <c r="E650" s="9"/>
      <c r="F650" s="13" t="str">
        <f aca="false">IF(A650="","",MONTH(A650))</f>
        <v/>
      </c>
    </row>
    <row r="651" customFormat="false" ht="15" hidden="false" customHeight="false" outlineLevel="0" collapsed="false">
      <c r="A651" s="12"/>
      <c r="B651" s="8"/>
      <c r="C651" s="8"/>
      <c r="D651" s="8"/>
      <c r="E651" s="9"/>
      <c r="F651" s="13" t="str">
        <f aca="false">IF(A651="","",MONTH(A651))</f>
        <v/>
      </c>
    </row>
    <row r="652" customFormat="false" ht="15" hidden="false" customHeight="false" outlineLevel="0" collapsed="false">
      <c r="A652" s="12"/>
      <c r="B652" s="8"/>
      <c r="C652" s="8"/>
      <c r="D652" s="8"/>
      <c r="E652" s="9"/>
      <c r="F652" s="13" t="str">
        <f aca="false">IF(A652="","",MONTH(A652))</f>
        <v/>
      </c>
    </row>
    <row r="653" customFormat="false" ht="15" hidden="false" customHeight="false" outlineLevel="0" collapsed="false">
      <c r="A653" s="12"/>
      <c r="B653" s="8"/>
      <c r="C653" s="8"/>
      <c r="D653" s="8"/>
      <c r="E653" s="9"/>
      <c r="F653" s="13" t="str">
        <f aca="false">IF(A653="","",MONTH(A653))</f>
        <v/>
      </c>
    </row>
    <row r="654" customFormat="false" ht="15" hidden="false" customHeight="false" outlineLevel="0" collapsed="false">
      <c r="A654" s="12"/>
      <c r="B654" s="8"/>
      <c r="C654" s="8"/>
      <c r="D654" s="8"/>
      <c r="E654" s="9"/>
      <c r="F654" s="13" t="str">
        <f aca="false">IF(A654="","",MONTH(A654))</f>
        <v/>
      </c>
    </row>
    <row r="655" customFormat="false" ht="15" hidden="false" customHeight="false" outlineLevel="0" collapsed="false">
      <c r="A655" s="12"/>
      <c r="B655" s="8"/>
      <c r="C655" s="8"/>
      <c r="D655" s="8"/>
      <c r="E655" s="9"/>
      <c r="F655" s="13" t="str">
        <f aca="false">IF(A655="","",MONTH(A655))</f>
        <v/>
      </c>
    </row>
    <row r="656" customFormat="false" ht="15" hidden="false" customHeight="false" outlineLevel="0" collapsed="false">
      <c r="A656" s="12"/>
      <c r="B656" s="8"/>
      <c r="C656" s="8"/>
      <c r="D656" s="8"/>
      <c r="E656" s="9"/>
      <c r="F656" s="13" t="str">
        <f aca="false">IF(A656="","",MONTH(A656))</f>
        <v/>
      </c>
    </row>
    <row r="657" customFormat="false" ht="15" hidden="false" customHeight="false" outlineLevel="0" collapsed="false">
      <c r="A657" s="12"/>
      <c r="B657" s="8"/>
      <c r="C657" s="8"/>
      <c r="D657" s="8"/>
      <c r="E657" s="9"/>
      <c r="F657" s="13" t="str">
        <f aca="false">IF(A657="","",MONTH(A657))</f>
        <v/>
      </c>
    </row>
    <row r="658" customFormat="false" ht="15" hidden="false" customHeight="false" outlineLevel="0" collapsed="false">
      <c r="A658" s="12"/>
      <c r="B658" s="8"/>
      <c r="C658" s="8"/>
      <c r="D658" s="8"/>
      <c r="E658" s="9"/>
      <c r="F658" s="13" t="str">
        <f aca="false">IF(A658="","",MONTH(A658))</f>
        <v/>
      </c>
    </row>
    <row r="659" customFormat="false" ht="15" hidden="false" customHeight="false" outlineLevel="0" collapsed="false">
      <c r="A659" s="12"/>
      <c r="B659" s="8"/>
      <c r="C659" s="8"/>
      <c r="D659" s="8"/>
      <c r="E659" s="9"/>
      <c r="F659" s="13" t="str">
        <f aca="false">IF(A659="","",MONTH(A659))</f>
        <v/>
      </c>
    </row>
    <row r="660" customFormat="false" ht="15" hidden="false" customHeight="false" outlineLevel="0" collapsed="false">
      <c r="A660" s="12"/>
      <c r="B660" s="8"/>
      <c r="C660" s="8"/>
      <c r="D660" s="8"/>
      <c r="E660" s="9"/>
      <c r="F660" s="13" t="str">
        <f aca="false">IF(A660="","",MONTH(A660))</f>
        <v/>
      </c>
    </row>
    <row r="661" customFormat="false" ht="15" hidden="false" customHeight="false" outlineLevel="0" collapsed="false">
      <c r="A661" s="12"/>
      <c r="B661" s="8"/>
      <c r="C661" s="8"/>
      <c r="D661" s="8"/>
      <c r="E661" s="9"/>
      <c r="F661" s="13" t="str">
        <f aca="false">IF(A661="","",MONTH(A661))</f>
        <v/>
      </c>
    </row>
    <row r="662" customFormat="false" ht="15" hidden="false" customHeight="false" outlineLevel="0" collapsed="false">
      <c r="A662" s="12"/>
      <c r="B662" s="8"/>
      <c r="C662" s="8"/>
      <c r="D662" s="8"/>
      <c r="E662" s="9"/>
      <c r="F662" s="13" t="str">
        <f aca="false">IF(A662="","",MONTH(A662))</f>
        <v/>
      </c>
    </row>
    <row r="663" customFormat="false" ht="15" hidden="false" customHeight="false" outlineLevel="0" collapsed="false">
      <c r="A663" s="12"/>
      <c r="B663" s="8"/>
      <c r="C663" s="8"/>
      <c r="D663" s="8"/>
      <c r="E663" s="9"/>
      <c r="F663" s="13" t="str">
        <f aca="false">IF(A663="","",MONTH(A663))</f>
        <v/>
      </c>
    </row>
    <row r="664" customFormat="false" ht="15" hidden="false" customHeight="false" outlineLevel="0" collapsed="false">
      <c r="A664" s="12"/>
      <c r="B664" s="8"/>
      <c r="C664" s="8"/>
      <c r="D664" s="8"/>
      <c r="E664" s="9"/>
      <c r="F664" s="13" t="str">
        <f aca="false">IF(A664="","",MONTH(A664))</f>
        <v/>
      </c>
    </row>
    <row r="665" customFormat="false" ht="15" hidden="false" customHeight="false" outlineLevel="0" collapsed="false">
      <c r="A665" s="12"/>
      <c r="B665" s="8"/>
      <c r="C665" s="8"/>
      <c r="D665" s="8"/>
      <c r="E665" s="9"/>
      <c r="F665" s="13" t="str">
        <f aca="false">IF(A665="","",MONTH(A665))</f>
        <v/>
      </c>
    </row>
    <row r="666" customFormat="false" ht="15" hidden="false" customHeight="false" outlineLevel="0" collapsed="false">
      <c r="A666" s="12"/>
      <c r="B666" s="8"/>
      <c r="C666" s="8"/>
      <c r="D666" s="8"/>
      <c r="E666" s="9"/>
      <c r="F666" s="13" t="str">
        <f aca="false">IF(A666="","",MONTH(A666))</f>
        <v/>
      </c>
    </row>
    <row r="667" customFormat="false" ht="15" hidden="false" customHeight="false" outlineLevel="0" collapsed="false">
      <c r="A667" s="12"/>
      <c r="B667" s="8"/>
      <c r="C667" s="8"/>
      <c r="D667" s="8"/>
      <c r="E667" s="9"/>
      <c r="F667" s="13" t="str">
        <f aca="false">IF(A667="","",MONTH(A667))</f>
        <v/>
      </c>
    </row>
    <row r="668" customFormat="false" ht="15" hidden="false" customHeight="false" outlineLevel="0" collapsed="false">
      <c r="A668" s="12"/>
      <c r="B668" s="8"/>
      <c r="C668" s="8"/>
      <c r="D668" s="8"/>
      <c r="E668" s="9"/>
      <c r="F668" s="13" t="str">
        <f aca="false">IF(A668="","",MONTH(A668))</f>
        <v/>
      </c>
    </row>
    <row r="669" customFormat="false" ht="15" hidden="false" customHeight="false" outlineLevel="0" collapsed="false">
      <c r="A669" s="12"/>
      <c r="B669" s="8"/>
      <c r="C669" s="8"/>
      <c r="D669" s="8"/>
      <c r="E669" s="9"/>
      <c r="F669" s="13" t="str">
        <f aca="false">IF(A669="","",MONTH(A669))</f>
        <v/>
      </c>
    </row>
    <row r="670" customFormat="false" ht="15" hidden="false" customHeight="false" outlineLevel="0" collapsed="false">
      <c r="A670" s="12"/>
      <c r="B670" s="8"/>
      <c r="C670" s="8"/>
      <c r="D670" s="8"/>
      <c r="E670" s="9"/>
      <c r="F670" s="13" t="str">
        <f aca="false">IF(A670="","",MONTH(A670))</f>
        <v/>
      </c>
    </row>
    <row r="671" customFormat="false" ht="15" hidden="false" customHeight="false" outlineLevel="0" collapsed="false">
      <c r="A671" s="12"/>
      <c r="B671" s="8"/>
      <c r="C671" s="8"/>
      <c r="D671" s="8"/>
      <c r="E671" s="9"/>
      <c r="F671" s="13" t="str">
        <f aca="false">IF(A671="","",MONTH(A671))</f>
        <v/>
      </c>
    </row>
    <row r="672" customFormat="false" ht="15" hidden="false" customHeight="false" outlineLevel="0" collapsed="false">
      <c r="A672" s="12"/>
      <c r="B672" s="8"/>
      <c r="C672" s="8"/>
      <c r="D672" s="8"/>
      <c r="E672" s="9"/>
      <c r="F672" s="13" t="str">
        <f aca="false">IF(A672="","",MONTH(A672))</f>
        <v/>
      </c>
    </row>
    <row r="673" customFormat="false" ht="15" hidden="false" customHeight="false" outlineLevel="0" collapsed="false">
      <c r="A673" s="12"/>
      <c r="B673" s="8"/>
      <c r="C673" s="8"/>
      <c r="D673" s="8"/>
      <c r="E673" s="9"/>
      <c r="F673" s="13" t="str">
        <f aca="false">IF(A673="","",MONTH(A673))</f>
        <v/>
      </c>
    </row>
    <row r="674" customFormat="false" ht="15" hidden="false" customHeight="false" outlineLevel="0" collapsed="false">
      <c r="A674" s="12"/>
      <c r="B674" s="8"/>
      <c r="C674" s="8"/>
      <c r="D674" s="8"/>
      <c r="E674" s="9"/>
      <c r="F674" s="13" t="str">
        <f aca="false">IF(A674="","",MONTH(A674))</f>
        <v/>
      </c>
    </row>
    <row r="675" customFormat="false" ht="15" hidden="false" customHeight="false" outlineLevel="0" collapsed="false">
      <c r="A675" s="12"/>
      <c r="B675" s="8"/>
      <c r="C675" s="8"/>
      <c r="D675" s="8"/>
      <c r="E675" s="9"/>
      <c r="F675" s="13" t="str">
        <f aca="false">IF(A675="","",MONTH(A675))</f>
        <v/>
      </c>
    </row>
    <row r="676" customFormat="false" ht="15" hidden="false" customHeight="false" outlineLevel="0" collapsed="false">
      <c r="A676" s="12"/>
      <c r="B676" s="8"/>
      <c r="C676" s="8"/>
      <c r="D676" s="8"/>
      <c r="E676" s="9"/>
      <c r="F676" s="13" t="str">
        <f aca="false">IF(A676="","",MONTH(A676))</f>
        <v/>
      </c>
    </row>
    <row r="677" customFormat="false" ht="15" hidden="false" customHeight="false" outlineLevel="0" collapsed="false">
      <c r="A677" s="12"/>
      <c r="B677" s="8"/>
      <c r="C677" s="8"/>
      <c r="D677" s="8"/>
      <c r="E677" s="9"/>
      <c r="F677" s="13" t="str">
        <f aca="false">IF(A677="","",MONTH(A677))</f>
        <v/>
      </c>
    </row>
    <row r="678" customFormat="false" ht="15" hidden="false" customHeight="false" outlineLevel="0" collapsed="false">
      <c r="A678" s="12"/>
      <c r="B678" s="8"/>
      <c r="C678" s="8"/>
      <c r="D678" s="8"/>
      <c r="E678" s="9"/>
      <c r="F678" s="13" t="str">
        <f aca="false">IF(A678="","",MONTH(A678))</f>
        <v/>
      </c>
    </row>
    <row r="679" customFormat="false" ht="15" hidden="false" customHeight="false" outlineLevel="0" collapsed="false">
      <c r="A679" s="12"/>
      <c r="B679" s="8"/>
      <c r="C679" s="8"/>
      <c r="D679" s="8"/>
      <c r="E679" s="9"/>
      <c r="F679" s="13" t="str">
        <f aca="false">IF(A679="","",MONTH(A679))</f>
        <v/>
      </c>
    </row>
    <row r="680" customFormat="false" ht="15" hidden="false" customHeight="false" outlineLevel="0" collapsed="false">
      <c r="A680" s="12"/>
      <c r="B680" s="8"/>
      <c r="C680" s="8"/>
      <c r="D680" s="8"/>
      <c r="E680" s="9"/>
      <c r="F680" s="13" t="str">
        <f aca="false">IF(A680="","",MONTH(A680))</f>
        <v/>
      </c>
    </row>
    <row r="681" customFormat="false" ht="15" hidden="false" customHeight="false" outlineLevel="0" collapsed="false">
      <c r="A681" s="12"/>
      <c r="B681" s="8"/>
      <c r="C681" s="8"/>
      <c r="D681" s="8"/>
      <c r="E681" s="9"/>
      <c r="F681" s="13" t="str">
        <f aca="false">IF(A681="","",MONTH(A681))</f>
        <v/>
      </c>
    </row>
    <row r="682" customFormat="false" ht="15" hidden="false" customHeight="false" outlineLevel="0" collapsed="false">
      <c r="A682" s="12"/>
      <c r="B682" s="8"/>
      <c r="C682" s="8"/>
      <c r="D682" s="8"/>
      <c r="E682" s="9"/>
      <c r="F682" s="13" t="str">
        <f aca="false">IF(A682="","",MONTH(A682))</f>
        <v/>
      </c>
    </row>
    <row r="683" customFormat="false" ht="15" hidden="false" customHeight="false" outlineLevel="0" collapsed="false">
      <c r="A683" s="12"/>
      <c r="B683" s="8"/>
      <c r="C683" s="8"/>
      <c r="D683" s="8"/>
      <c r="E683" s="9"/>
      <c r="F683" s="13" t="str">
        <f aca="false">IF(A683="","",MONTH(A683))</f>
        <v/>
      </c>
    </row>
    <row r="684" customFormat="false" ht="15" hidden="false" customHeight="false" outlineLevel="0" collapsed="false">
      <c r="A684" s="12"/>
      <c r="B684" s="8"/>
      <c r="C684" s="8"/>
      <c r="D684" s="8"/>
      <c r="E684" s="9"/>
      <c r="F684" s="13" t="str">
        <f aca="false">IF(A684="","",MONTH(A684))</f>
        <v/>
      </c>
    </row>
    <row r="685" customFormat="false" ht="15" hidden="false" customHeight="false" outlineLevel="0" collapsed="false">
      <c r="A685" s="12"/>
      <c r="B685" s="8"/>
      <c r="C685" s="8"/>
      <c r="D685" s="8"/>
      <c r="E685" s="9"/>
      <c r="F685" s="13" t="str">
        <f aca="false">IF(A685="","",MONTH(A685))</f>
        <v/>
      </c>
    </row>
    <row r="686" customFormat="false" ht="15" hidden="false" customHeight="false" outlineLevel="0" collapsed="false">
      <c r="A686" s="12"/>
      <c r="B686" s="8"/>
      <c r="C686" s="8"/>
      <c r="D686" s="8"/>
      <c r="E686" s="9"/>
      <c r="F686" s="13" t="str">
        <f aca="false">IF(A686="","",MONTH(A686))</f>
        <v/>
      </c>
    </row>
    <row r="687" customFormat="false" ht="15" hidden="false" customHeight="false" outlineLevel="0" collapsed="false">
      <c r="A687" s="12"/>
      <c r="B687" s="8"/>
      <c r="C687" s="8"/>
      <c r="D687" s="8"/>
      <c r="E687" s="9"/>
      <c r="F687" s="13" t="str">
        <f aca="false">IF(A687="","",MONTH(A687))</f>
        <v/>
      </c>
    </row>
    <row r="688" customFormat="false" ht="15" hidden="false" customHeight="false" outlineLevel="0" collapsed="false">
      <c r="A688" s="12"/>
      <c r="B688" s="8"/>
      <c r="C688" s="8"/>
      <c r="D688" s="8"/>
      <c r="E688" s="9"/>
      <c r="F688" s="13" t="str">
        <f aca="false">IF(A688="","",MONTH(A688))</f>
        <v/>
      </c>
    </row>
    <row r="689" customFormat="false" ht="15" hidden="false" customHeight="false" outlineLevel="0" collapsed="false">
      <c r="A689" s="12"/>
      <c r="B689" s="8"/>
      <c r="C689" s="8"/>
      <c r="D689" s="8"/>
      <c r="E689" s="9"/>
      <c r="F689" s="13" t="str">
        <f aca="false">IF(A689="","",MONTH(A689))</f>
        <v/>
      </c>
    </row>
    <row r="690" customFormat="false" ht="15" hidden="false" customHeight="false" outlineLevel="0" collapsed="false">
      <c r="A690" s="12"/>
      <c r="B690" s="8"/>
      <c r="C690" s="8"/>
      <c r="D690" s="8"/>
      <c r="E690" s="9"/>
      <c r="F690" s="13" t="str">
        <f aca="false">IF(A690="","",MONTH(A690))</f>
        <v/>
      </c>
    </row>
    <row r="691" customFormat="false" ht="15" hidden="false" customHeight="false" outlineLevel="0" collapsed="false">
      <c r="A691" s="12"/>
      <c r="B691" s="8"/>
      <c r="C691" s="8"/>
      <c r="D691" s="8"/>
      <c r="E691" s="9"/>
      <c r="F691" s="13" t="str">
        <f aca="false">IF(A691="","",MONTH(A691))</f>
        <v/>
      </c>
    </row>
    <row r="692" customFormat="false" ht="15" hidden="false" customHeight="false" outlineLevel="0" collapsed="false">
      <c r="A692" s="12"/>
      <c r="B692" s="8"/>
      <c r="C692" s="8"/>
      <c r="D692" s="8"/>
      <c r="E692" s="9"/>
      <c r="F692" s="13" t="str">
        <f aca="false">IF(A692="","",MONTH(A692))</f>
        <v/>
      </c>
    </row>
    <row r="693" customFormat="false" ht="15" hidden="false" customHeight="false" outlineLevel="0" collapsed="false">
      <c r="A693" s="12"/>
      <c r="B693" s="8"/>
      <c r="C693" s="8"/>
      <c r="D693" s="8"/>
      <c r="E693" s="9"/>
      <c r="F693" s="13" t="str">
        <f aca="false">IF(A693="","",MONTH(A693))</f>
        <v/>
      </c>
    </row>
    <row r="694" customFormat="false" ht="15" hidden="false" customHeight="false" outlineLevel="0" collapsed="false">
      <c r="A694" s="12"/>
      <c r="B694" s="8"/>
      <c r="C694" s="8"/>
      <c r="D694" s="8"/>
      <c r="E694" s="9"/>
      <c r="F694" s="13" t="str">
        <f aca="false">IF(A694="","",MONTH(A694))</f>
        <v/>
      </c>
    </row>
    <row r="695" customFormat="false" ht="15" hidden="false" customHeight="false" outlineLevel="0" collapsed="false">
      <c r="A695" s="12"/>
      <c r="B695" s="8"/>
      <c r="C695" s="8"/>
      <c r="D695" s="8"/>
      <c r="E695" s="9"/>
      <c r="F695" s="13" t="str">
        <f aca="false">IF(A695="","",MONTH(A695))</f>
        <v/>
      </c>
    </row>
    <row r="696" customFormat="false" ht="15" hidden="false" customHeight="false" outlineLevel="0" collapsed="false">
      <c r="A696" s="12"/>
      <c r="B696" s="8"/>
      <c r="C696" s="8"/>
      <c r="D696" s="8"/>
      <c r="E696" s="9"/>
      <c r="F696" s="13" t="str">
        <f aca="false">IF(A696="","",MONTH(A696))</f>
        <v/>
      </c>
    </row>
    <row r="697" customFormat="false" ht="15" hidden="false" customHeight="false" outlineLevel="0" collapsed="false">
      <c r="A697" s="12"/>
      <c r="B697" s="8"/>
      <c r="C697" s="8"/>
      <c r="D697" s="8"/>
      <c r="E697" s="9"/>
      <c r="F697" s="13" t="str">
        <f aca="false">IF(A697="","",MONTH(A697))</f>
        <v/>
      </c>
    </row>
    <row r="698" customFormat="false" ht="15" hidden="false" customHeight="false" outlineLevel="0" collapsed="false">
      <c r="A698" s="12"/>
      <c r="B698" s="8"/>
      <c r="C698" s="8"/>
      <c r="D698" s="8"/>
      <c r="E698" s="9"/>
      <c r="F698" s="13" t="str">
        <f aca="false">IF(A698="","",MONTH(A698))</f>
        <v/>
      </c>
    </row>
    <row r="699" customFormat="false" ht="15" hidden="false" customHeight="false" outlineLevel="0" collapsed="false">
      <c r="A699" s="12"/>
      <c r="B699" s="8"/>
      <c r="C699" s="8"/>
      <c r="D699" s="8"/>
      <c r="E699" s="9"/>
      <c r="F699" s="13" t="str">
        <f aca="false">IF(A699="","",MONTH(A699))</f>
        <v/>
      </c>
    </row>
    <row r="700" customFormat="false" ht="15" hidden="false" customHeight="false" outlineLevel="0" collapsed="false">
      <c r="A700" s="12"/>
      <c r="B700" s="8"/>
      <c r="C700" s="8"/>
      <c r="D700" s="8"/>
      <c r="E700" s="9"/>
      <c r="F700" s="13" t="str">
        <f aca="false">IF(A700="","",MONTH(A700))</f>
        <v/>
      </c>
    </row>
    <row r="701" customFormat="false" ht="15" hidden="false" customHeight="false" outlineLevel="0" collapsed="false">
      <c r="A701" s="12"/>
      <c r="B701" s="8"/>
      <c r="C701" s="8"/>
      <c r="D701" s="8"/>
      <c r="E701" s="9"/>
      <c r="F701" s="13" t="str">
        <f aca="false">IF(A701="","",MONTH(A701))</f>
        <v/>
      </c>
    </row>
    <row r="702" customFormat="false" ht="15" hidden="false" customHeight="false" outlineLevel="0" collapsed="false">
      <c r="A702" s="12"/>
      <c r="B702" s="8"/>
      <c r="C702" s="8"/>
      <c r="D702" s="8"/>
      <c r="E702" s="9"/>
      <c r="F702" s="13" t="str">
        <f aca="false">IF(A702="","",MONTH(A702))</f>
        <v/>
      </c>
    </row>
    <row r="703" customFormat="false" ht="15" hidden="false" customHeight="false" outlineLevel="0" collapsed="false">
      <c r="A703" s="12"/>
      <c r="B703" s="8"/>
      <c r="C703" s="8"/>
      <c r="D703" s="8"/>
      <c r="E703" s="9"/>
      <c r="F703" s="13" t="str">
        <f aca="false">IF(A703="","",MONTH(A703))</f>
        <v/>
      </c>
    </row>
    <row r="704" customFormat="false" ht="15" hidden="false" customHeight="false" outlineLevel="0" collapsed="false">
      <c r="A704" s="12"/>
      <c r="B704" s="8"/>
      <c r="C704" s="8"/>
      <c r="D704" s="8"/>
      <c r="E704" s="9"/>
      <c r="F704" s="13" t="str">
        <f aca="false">IF(A704="","",MONTH(A704))</f>
        <v/>
      </c>
    </row>
    <row r="705" customFormat="false" ht="15" hidden="false" customHeight="false" outlineLevel="0" collapsed="false">
      <c r="A705" s="12"/>
      <c r="B705" s="8"/>
      <c r="C705" s="8"/>
      <c r="D705" s="8"/>
      <c r="E705" s="9"/>
      <c r="F705" s="13" t="str">
        <f aca="false">IF(A705="","",MONTH(A705))</f>
        <v/>
      </c>
    </row>
    <row r="706" customFormat="false" ht="15" hidden="false" customHeight="false" outlineLevel="0" collapsed="false">
      <c r="A706" s="12"/>
      <c r="B706" s="8"/>
      <c r="C706" s="8"/>
      <c r="D706" s="8"/>
      <c r="E706" s="9"/>
      <c r="F706" s="13" t="str">
        <f aca="false">IF(A706="","",MONTH(A706))</f>
        <v/>
      </c>
    </row>
    <row r="707" customFormat="false" ht="15" hidden="false" customHeight="false" outlineLevel="0" collapsed="false">
      <c r="A707" s="12"/>
      <c r="B707" s="8"/>
      <c r="C707" s="8"/>
      <c r="D707" s="8"/>
      <c r="E707" s="9"/>
      <c r="F707" s="13" t="str">
        <f aca="false">IF(A707="","",MONTH(A707))</f>
        <v/>
      </c>
    </row>
    <row r="708" customFormat="false" ht="15" hidden="false" customHeight="false" outlineLevel="0" collapsed="false">
      <c r="A708" s="12"/>
      <c r="B708" s="8"/>
      <c r="C708" s="8"/>
      <c r="D708" s="8"/>
      <c r="E708" s="9"/>
      <c r="F708" s="13" t="str">
        <f aca="false">IF(A708="","",MONTH(A708))</f>
        <v/>
      </c>
    </row>
    <row r="709" customFormat="false" ht="15" hidden="false" customHeight="false" outlineLevel="0" collapsed="false">
      <c r="A709" s="12"/>
      <c r="B709" s="8"/>
      <c r="C709" s="8"/>
      <c r="D709" s="8"/>
      <c r="E709" s="9"/>
      <c r="F709" s="13" t="str">
        <f aca="false">IF(A709="","",MONTH(A709))</f>
        <v/>
      </c>
    </row>
    <row r="710" customFormat="false" ht="15" hidden="false" customHeight="false" outlineLevel="0" collapsed="false">
      <c r="A710" s="12"/>
      <c r="B710" s="8"/>
      <c r="C710" s="8"/>
      <c r="D710" s="8"/>
      <c r="E710" s="9"/>
      <c r="F710" s="13" t="str">
        <f aca="false">IF(A710="","",MONTH(A710))</f>
        <v/>
      </c>
    </row>
    <row r="711" customFormat="false" ht="15" hidden="false" customHeight="false" outlineLevel="0" collapsed="false">
      <c r="A711" s="12"/>
      <c r="B711" s="8"/>
      <c r="C711" s="8"/>
      <c r="D711" s="8"/>
      <c r="E711" s="9"/>
      <c r="F711" s="13" t="str">
        <f aca="false">IF(A711="","",MONTH(A711))</f>
        <v/>
      </c>
    </row>
    <row r="712" customFormat="false" ht="15" hidden="false" customHeight="false" outlineLevel="0" collapsed="false">
      <c r="A712" s="12"/>
      <c r="B712" s="8"/>
      <c r="C712" s="8"/>
      <c r="D712" s="8"/>
      <c r="E712" s="9"/>
      <c r="F712" s="13" t="str">
        <f aca="false">IF(A712="","",MONTH(A712))</f>
        <v/>
      </c>
    </row>
    <row r="713" customFormat="false" ht="15" hidden="false" customHeight="false" outlineLevel="0" collapsed="false">
      <c r="A713" s="12"/>
      <c r="B713" s="8"/>
      <c r="C713" s="8"/>
      <c r="D713" s="8"/>
      <c r="E713" s="9"/>
      <c r="F713" s="13" t="str">
        <f aca="false">IF(A713="","",MONTH(A713))</f>
        <v/>
      </c>
    </row>
    <row r="714" customFormat="false" ht="15" hidden="false" customHeight="false" outlineLevel="0" collapsed="false">
      <c r="A714" s="12"/>
      <c r="B714" s="8"/>
      <c r="C714" s="8"/>
      <c r="D714" s="8"/>
      <c r="E714" s="9"/>
      <c r="F714" s="13" t="str">
        <f aca="false">IF(A714="","",MONTH(A714))</f>
        <v/>
      </c>
    </row>
    <row r="715" customFormat="false" ht="15" hidden="false" customHeight="false" outlineLevel="0" collapsed="false">
      <c r="A715" s="12"/>
      <c r="B715" s="8"/>
      <c r="C715" s="8"/>
      <c r="D715" s="8"/>
      <c r="E715" s="9"/>
      <c r="F715" s="13" t="str">
        <f aca="false">IF(A715="","",MONTH(A715))</f>
        <v/>
      </c>
    </row>
    <row r="716" customFormat="false" ht="15" hidden="false" customHeight="false" outlineLevel="0" collapsed="false">
      <c r="A716" s="12"/>
      <c r="B716" s="8"/>
      <c r="C716" s="8"/>
      <c r="D716" s="8"/>
      <c r="E716" s="9"/>
      <c r="F716" s="13" t="str">
        <f aca="false">IF(A716="","",MONTH(A716))</f>
        <v/>
      </c>
    </row>
    <row r="717" customFormat="false" ht="15" hidden="false" customHeight="false" outlineLevel="0" collapsed="false">
      <c r="A717" s="12"/>
      <c r="B717" s="8"/>
      <c r="C717" s="8"/>
      <c r="D717" s="8"/>
      <c r="E717" s="9"/>
      <c r="F717" s="13" t="str">
        <f aca="false">IF(A717="","",MONTH(A717))</f>
        <v/>
      </c>
    </row>
    <row r="718" customFormat="false" ht="15" hidden="false" customHeight="false" outlineLevel="0" collapsed="false">
      <c r="A718" s="12"/>
      <c r="B718" s="8"/>
      <c r="C718" s="8"/>
      <c r="D718" s="8"/>
      <c r="E718" s="9"/>
      <c r="F718" s="13" t="str">
        <f aca="false">IF(A718="","",MONTH(A718))</f>
        <v/>
      </c>
    </row>
    <row r="719" customFormat="false" ht="15" hidden="false" customHeight="false" outlineLevel="0" collapsed="false">
      <c r="A719" s="12"/>
      <c r="B719" s="8"/>
      <c r="C719" s="8"/>
      <c r="D719" s="8"/>
      <c r="E719" s="9"/>
      <c r="F719" s="13" t="str">
        <f aca="false">IF(A719="","",MONTH(A719))</f>
        <v/>
      </c>
    </row>
    <row r="720" customFormat="false" ht="15" hidden="false" customHeight="false" outlineLevel="0" collapsed="false">
      <c r="A720" s="12"/>
      <c r="B720" s="8"/>
      <c r="C720" s="8"/>
      <c r="D720" s="8"/>
      <c r="E720" s="9"/>
      <c r="F720" s="13" t="str">
        <f aca="false">IF(A720="","",MONTH(A720))</f>
        <v/>
      </c>
    </row>
    <row r="721" customFormat="false" ht="15" hidden="false" customHeight="false" outlineLevel="0" collapsed="false">
      <c r="A721" s="12"/>
      <c r="B721" s="8"/>
      <c r="C721" s="8"/>
      <c r="D721" s="8"/>
      <c r="E721" s="9"/>
      <c r="F721" s="13" t="str">
        <f aca="false">IF(A721="","",MONTH(A721))</f>
        <v/>
      </c>
    </row>
    <row r="722" customFormat="false" ht="15" hidden="false" customHeight="false" outlineLevel="0" collapsed="false">
      <c r="A722" s="12"/>
      <c r="B722" s="8"/>
      <c r="C722" s="8"/>
      <c r="D722" s="8"/>
      <c r="E722" s="9"/>
      <c r="F722" s="13" t="str">
        <f aca="false">IF(A722="","",MONTH(A722))</f>
        <v/>
      </c>
    </row>
    <row r="723" customFormat="false" ht="15" hidden="false" customHeight="false" outlineLevel="0" collapsed="false">
      <c r="A723" s="12"/>
      <c r="B723" s="8"/>
      <c r="C723" s="8"/>
      <c r="D723" s="8"/>
      <c r="E723" s="9"/>
      <c r="F723" s="13" t="str">
        <f aca="false">IF(A723="","",MONTH(A723))</f>
        <v/>
      </c>
    </row>
    <row r="724" customFormat="false" ht="15" hidden="false" customHeight="false" outlineLevel="0" collapsed="false">
      <c r="A724" s="12"/>
      <c r="B724" s="8"/>
      <c r="C724" s="8"/>
      <c r="D724" s="8"/>
      <c r="E724" s="9"/>
      <c r="F724" s="13" t="str">
        <f aca="false">IF(A724="","",MONTH(A724))</f>
        <v/>
      </c>
    </row>
    <row r="725" customFormat="false" ht="15" hidden="false" customHeight="false" outlineLevel="0" collapsed="false">
      <c r="A725" s="12"/>
      <c r="B725" s="8"/>
      <c r="C725" s="8"/>
      <c r="D725" s="8"/>
      <c r="E725" s="9"/>
      <c r="F725" s="13" t="str">
        <f aca="false">IF(A725="","",MONTH(A725))</f>
        <v/>
      </c>
    </row>
    <row r="726" customFormat="false" ht="15" hidden="false" customHeight="false" outlineLevel="0" collapsed="false">
      <c r="A726" s="12"/>
      <c r="B726" s="8"/>
      <c r="C726" s="8"/>
      <c r="D726" s="8"/>
      <c r="E726" s="9"/>
      <c r="F726" s="13" t="str">
        <f aca="false">IF(A726="","",MONTH(A726))</f>
        <v/>
      </c>
    </row>
    <row r="727" customFormat="false" ht="15" hidden="false" customHeight="false" outlineLevel="0" collapsed="false">
      <c r="A727" s="12"/>
      <c r="B727" s="8"/>
      <c r="C727" s="8"/>
      <c r="D727" s="8"/>
      <c r="E727" s="9"/>
      <c r="F727" s="13" t="str">
        <f aca="false">IF(A727="","",MONTH(A727))</f>
        <v/>
      </c>
    </row>
    <row r="728" customFormat="false" ht="15" hidden="false" customHeight="false" outlineLevel="0" collapsed="false">
      <c r="A728" s="12"/>
      <c r="B728" s="8"/>
      <c r="C728" s="8"/>
      <c r="D728" s="8"/>
      <c r="E728" s="9"/>
      <c r="F728" s="13" t="str">
        <f aca="false">IF(A728="","",MONTH(A728))</f>
        <v/>
      </c>
    </row>
    <row r="729" customFormat="false" ht="15" hidden="false" customHeight="false" outlineLevel="0" collapsed="false">
      <c r="A729" s="12"/>
      <c r="B729" s="8"/>
      <c r="C729" s="8"/>
      <c r="D729" s="8"/>
      <c r="E729" s="9"/>
      <c r="F729" s="13" t="str">
        <f aca="false">IF(A729="","",MONTH(A729))</f>
        <v/>
      </c>
    </row>
    <row r="730" customFormat="false" ht="15" hidden="false" customHeight="false" outlineLevel="0" collapsed="false">
      <c r="A730" s="12"/>
      <c r="B730" s="8"/>
      <c r="C730" s="8"/>
      <c r="D730" s="8"/>
      <c r="E730" s="9"/>
      <c r="F730" s="13" t="str">
        <f aca="false">IF(A730="","",MONTH(A730))</f>
        <v/>
      </c>
    </row>
    <row r="731" customFormat="false" ht="15" hidden="false" customHeight="false" outlineLevel="0" collapsed="false">
      <c r="A731" s="12"/>
      <c r="B731" s="8"/>
      <c r="C731" s="8"/>
      <c r="D731" s="8"/>
      <c r="E731" s="9"/>
      <c r="F731" s="13" t="str">
        <f aca="false">IF(A731="","",MONTH(A731))</f>
        <v/>
      </c>
    </row>
    <row r="732" customFormat="false" ht="15" hidden="false" customHeight="false" outlineLevel="0" collapsed="false">
      <c r="A732" s="12"/>
      <c r="B732" s="8"/>
      <c r="C732" s="8"/>
      <c r="D732" s="8"/>
      <c r="E732" s="9"/>
      <c r="F732" s="13" t="str">
        <f aca="false">IF(A732="","",MONTH(A732))</f>
        <v/>
      </c>
    </row>
    <row r="733" customFormat="false" ht="15" hidden="false" customHeight="false" outlineLevel="0" collapsed="false">
      <c r="A733" s="12"/>
      <c r="B733" s="8"/>
      <c r="C733" s="8"/>
      <c r="D733" s="8"/>
      <c r="E733" s="9"/>
      <c r="F733" s="13" t="str">
        <f aca="false">IF(A733="","",MONTH(A733))</f>
        <v/>
      </c>
    </row>
    <row r="734" customFormat="false" ht="15" hidden="false" customHeight="false" outlineLevel="0" collapsed="false">
      <c r="A734" s="12"/>
      <c r="B734" s="8"/>
      <c r="C734" s="8"/>
      <c r="D734" s="8"/>
      <c r="E734" s="9"/>
      <c r="F734" s="13" t="str">
        <f aca="false">IF(A734="","",MONTH(A734))</f>
        <v/>
      </c>
    </row>
    <row r="735" customFormat="false" ht="15" hidden="false" customHeight="false" outlineLevel="0" collapsed="false">
      <c r="A735" s="12"/>
      <c r="B735" s="8"/>
      <c r="C735" s="8"/>
      <c r="D735" s="8"/>
      <c r="E735" s="9"/>
      <c r="F735" s="13" t="str">
        <f aca="false">IF(A735="","",MONTH(A735))</f>
        <v/>
      </c>
    </row>
    <row r="736" customFormat="false" ht="15" hidden="false" customHeight="false" outlineLevel="0" collapsed="false">
      <c r="A736" s="12"/>
      <c r="B736" s="8"/>
      <c r="C736" s="8"/>
      <c r="D736" s="8"/>
      <c r="E736" s="9"/>
      <c r="F736" s="13" t="str">
        <f aca="false">IF(A736="","",MONTH(A736))</f>
        <v/>
      </c>
    </row>
    <row r="737" customFormat="false" ht="15" hidden="false" customHeight="false" outlineLevel="0" collapsed="false">
      <c r="A737" s="12"/>
      <c r="B737" s="8"/>
      <c r="C737" s="8"/>
      <c r="D737" s="8"/>
      <c r="E737" s="9"/>
      <c r="F737" s="13" t="str">
        <f aca="false">IF(A737="","",MONTH(A737))</f>
        <v/>
      </c>
    </row>
    <row r="738" customFormat="false" ht="15" hidden="false" customHeight="false" outlineLevel="0" collapsed="false">
      <c r="A738" s="12"/>
      <c r="B738" s="8"/>
      <c r="C738" s="8"/>
      <c r="D738" s="8"/>
      <c r="E738" s="9"/>
      <c r="F738" s="13" t="str">
        <f aca="false">IF(A738="","",MONTH(A738))</f>
        <v/>
      </c>
    </row>
    <row r="739" customFormat="false" ht="15" hidden="false" customHeight="false" outlineLevel="0" collapsed="false">
      <c r="A739" s="12"/>
      <c r="B739" s="8"/>
      <c r="C739" s="8"/>
      <c r="D739" s="8"/>
      <c r="E739" s="9"/>
      <c r="F739" s="13" t="str">
        <f aca="false">IF(A739="","",MONTH(A739))</f>
        <v/>
      </c>
    </row>
    <row r="740" customFormat="false" ht="15" hidden="false" customHeight="false" outlineLevel="0" collapsed="false">
      <c r="A740" s="12"/>
      <c r="B740" s="8"/>
      <c r="C740" s="8"/>
      <c r="D740" s="8"/>
      <c r="E740" s="9"/>
      <c r="F740" s="13" t="str">
        <f aca="false">IF(A740="","",MONTH(A740))</f>
        <v/>
      </c>
    </row>
    <row r="741" customFormat="false" ht="15" hidden="false" customHeight="false" outlineLevel="0" collapsed="false">
      <c r="A741" s="12"/>
      <c r="B741" s="8"/>
      <c r="C741" s="8"/>
      <c r="D741" s="8"/>
      <c r="E741" s="9"/>
      <c r="F741" s="13" t="str">
        <f aca="false">IF(A741="","",MONTH(A741))</f>
        <v/>
      </c>
    </row>
    <row r="742" customFormat="false" ht="15" hidden="false" customHeight="false" outlineLevel="0" collapsed="false">
      <c r="A742" s="12"/>
      <c r="B742" s="8"/>
      <c r="C742" s="8"/>
      <c r="D742" s="8"/>
      <c r="E742" s="9"/>
      <c r="F742" s="13" t="str">
        <f aca="false">IF(A742="","",MONTH(A742))</f>
        <v/>
      </c>
    </row>
    <row r="743" customFormat="false" ht="15" hidden="false" customHeight="false" outlineLevel="0" collapsed="false">
      <c r="A743" s="12"/>
      <c r="B743" s="8"/>
      <c r="C743" s="8"/>
      <c r="D743" s="8"/>
      <c r="E743" s="9"/>
      <c r="F743" s="13" t="str">
        <f aca="false">IF(A743="","",MONTH(A743))</f>
        <v/>
      </c>
    </row>
    <row r="744" customFormat="false" ht="15" hidden="false" customHeight="false" outlineLevel="0" collapsed="false">
      <c r="A744" s="12"/>
      <c r="B744" s="8"/>
      <c r="C744" s="8"/>
      <c r="D744" s="8"/>
      <c r="E744" s="9"/>
      <c r="F744" s="13" t="str">
        <f aca="false">IF(A744="","",MONTH(A744))</f>
        <v/>
      </c>
    </row>
    <row r="745" customFormat="false" ht="15" hidden="false" customHeight="false" outlineLevel="0" collapsed="false">
      <c r="A745" s="12"/>
      <c r="B745" s="8"/>
      <c r="C745" s="8"/>
      <c r="D745" s="8"/>
      <c r="E745" s="9"/>
      <c r="F745" s="13" t="str">
        <f aca="false">IF(A745="","",MONTH(A745))</f>
        <v/>
      </c>
    </row>
    <row r="746" customFormat="false" ht="15" hidden="false" customHeight="false" outlineLevel="0" collapsed="false">
      <c r="A746" s="12"/>
      <c r="B746" s="8"/>
      <c r="C746" s="8"/>
      <c r="D746" s="8"/>
      <c r="E746" s="9"/>
      <c r="F746" s="13" t="str">
        <f aca="false">IF(A746="","",MONTH(A746))</f>
        <v/>
      </c>
    </row>
    <row r="747" customFormat="false" ht="15" hidden="false" customHeight="false" outlineLevel="0" collapsed="false">
      <c r="A747" s="12"/>
      <c r="B747" s="8"/>
      <c r="C747" s="8"/>
      <c r="D747" s="8"/>
      <c r="E747" s="9"/>
      <c r="F747" s="13" t="str">
        <f aca="false">IF(A747="","",MONTH(A747))</f>
        <v/>
      </c>
    </row>
    <row r="748" customFormat="false" ht="15" hidden="false" customHeight="false" outlineLevel="0" collapsed="false">
      <c r="A748" s="12"/>
      <c r="B748" s="8"/>
      <c r="C748" s="8"/>
      <c r="D748" s="8"/>
      <c r="E748" s="9"/>
      <c r="F748" s="13" t="str">
        <f aca="false">IF(A748="","",MONTH(A748))</f>
        <v/>
      </c>
    </row>
    <row r="749" customFormat="false" ht="15" hidden="false" customHeight="false" outlineLevel="0" collapsed="false">
      <c r="A749" s="12"/>
      <c r="B749" s="8"/>
      <c r="C749" s="8"/>
      <c r="D749" s="8"/>
      <c r="E749" s="9"/>
      <c r="F749" s="13" t="str">
        <f aca="false">IF(A749="","",MONTH(A749))</f>
        <v/>
      </c>
    </row>
    <row r="750" customFormat="false" ht="15" hidden="false" customHeight="false" outlineLevel="0" collapsed="false">
      <c r="A750" s="12"/>
      <c r="B750" s="8"/>
      <c r="C750" s="8"/>
      <c r="D750" s="8"/>
      <c r="E750" s="9"/>
      <c r="F750" s="13" t="str">
        <f aca="false">IF(A750="","",MONTH(A750))</f>
        <v/>
      </c>
    </row>
    <row r="751" customFormat="false" ht="15" hidden="false" customHeight="false" outlineLevel="0" collapsed="false">
      <c r="A751" s="12"/>
      <c r="B751" s="8"/>
      <c r="C751" s="8"/>
      <c r="D751" s="8"/>
      <c r="E751" s="9"/>
      <c r="F751" s="13" t="str">
        <f aca="false">IF(A751="","",MONTH(A751))</f>
        <v/>
      </c>
    </row>
    <row r="752" customFormat="false" ht="15" hidden="false" customHeight="false" outlineLevel="0" collapsed="false">
      <c r="A752" s="12"/>
      <c r="B752" s="8"/>
      <c r="C752" s="8"/>
      <c r="D752" s="8"/>
      <c r="E752" s="9"/>
      <c r="F752" s="13" t="str">
        <f aca="false">IF(A752="","",MONTH(A752))</f>
        <v/>
      </c>
    </row>
    <row r="753" customFormat="false" ht="15" hidden="false" customHeight="false" outlineLevel="0" collapsed="false">
      <c r="A753" s="12"/>
      <c r="B753" s="8"/>
      <c r="C753" s="8"/>
      <c r="D753" s="8"/>
      <c r="E753" s="9"/>
      <c r="F753" s="13" t="str">
        <f aca="false">IF(A753="","",MONTH(A753))</f>
        <v/>
      </c>
    </row>
    <row r="754" customFormat="false" ht="15" hidden="false" customHeight="false" outlineLevel="0" collapsed="false">
      <c r="A754" s="12"/>
      <c r="B754" s="8"/>
      <c r="C754" s="8"/>
      <c r="D754" s="8"/>
      <c r="E754" s="9"/>
      <c r="F754" s="13" t="str">
        <f aca="false">IF(A754="","",MONTH(A754))</f>
        <v/>
      </c>
    </row>
    <row r="755" customFormat="false" ht="15" hidden="false" customHeight="false" outlineLevel="0" collapsed="false">
      <c r="A755" s="12"/>
      <c r="B755" s="8"/>
      <c r="C755" s="8"/>
      <c r="D755" s="8"/>
      <c r="E755" s="9"/>
      <c r="F755" s="13" t="str">
        <f aca="false">IF(A755="","",MONTH(A755))</f>
        <v/>
      </c>
    </row>
    <row r="756" customFormat="false" ht="15" hidden="false" customHeight="false" outlineLevel="0" collapsed="false">
      <c r="A756" s="12"/>
      <c r="B756" s="8"/>
      <c r="C756" s="8"/>
      <c r="D756" s="8"/>
      <c r="E756" s="9"/>
      <c r="F756" s="13" t="str">
        <f aca="false">IF(A756="","",MONTH(A756))</f>
        <v/>
      </c>
    </row>
    <row r="757" customFormat="false" ht="15" hidden="false" customHeight="false" outlineLevel="0" collapsed="false">
      <c r="A757" s="12"/>
      <c r="B757" s="8"/>
      <c r="C757" s="8"/>
      <c r="D757" s="8"/>
      <c r="E757" s="9"/>
      <c r="F757" s="13" t="str">
        <f aca="false">IF(A757="","",MONTH(A757))</f>
        <v/>
      </c>
    </row>
    <row r="758" customFormat="false" ht="15" hidden="false" customHeight="false" outlineLevel="0" collapsed="false">
      <c r="A758" s="12"/>
      <c r="B758" s="8"/>
      <c r="C758" s="8"/>
      <c r="D758" s="8"/>
      <c r="E758" s="9"/>
      <c r="F758" s="13" t="str">
        <f aca="false">IF(A758="","",MONTH(A758))</f>
        <v/>
      </c>
    </row>
    <row r="759" customFormat="false" ht="15" hidden="false" customHeight="false" outlineLevel="0" collapsed="false">
      <c r="A759" s="12"/>
      <c r="B759" s="8"/>
      <c r="C759" s="8"/>
      <c r="D759" s="8"/>
      <c r="E759" s="9"/>
      <c r="F759" s="13" t="str">
        <f aca="false">IF(A759="","",MONTH(A759))</f>
        <v/>
      </c>
    </row>
    <row r="760" customFormat="false" ht="15" hidden="false" customHeight="false" outlineLevel="0" collapsed="false">
      <c r="A760" s="12"/>
      <c r="B760" s="8"/>
      <c r="C760" s="8"/>
      <c r="D760" s="8"/>
      <c r="E760" s="9"/>
      <c r="F760" s="13" t="str">
        <f aca="false">IF(A760="","",MONTH(A760))</f>
        <v/>
      </c>
    </row>
    <row r="761" customFormat="false" ht="15" hidden="false" customHeight="false" outlineLevel="0" collapsed="false">
      <c r="A761" s="12"/>
      <c r="B761" s="8"/>
      <c r="C761" s="8"/>
      <c r="D761" s="8"/>
      <c r="E761" s="9"/>
      <c r="F761" s="13" t="str">
        <f aca="false">IF(A761="","",MONTH(A761))</f>
        <v/>
      </c>
    </row>
    <row r="762" customFormat="false" ht="15" hidden="false" customHeight="false" outlineLevel="0" collapsed="false">
      <c r="A762" s="12"/>
      <c r="B762" s="8"/>
      <c r="C762" s="8"/>
      <c r="D762" s="8"/>
      <c r="E762" s="9"/>
      <c r="F762" s="13" t="str">
        <f aca="false">IF(A762="","",MONTH(A762))</f>
        <v/>
      </c>
    </row>
    <row r="763" customFormat="false" ht="15" hidden="false" customHeight="false" outlineLevel="0" collapsed="false">
      <c r="A763" s="12"/>
      <c r="B763" s="8"/>
      <c r="C763" s="8"/>
      <c r="D763" s="8"/>
      <c r="E763" s="9"/>
      <c r="F763" s="13" t="str">
        <f aca="false">IF(A763="","",MONTH(A763))</f>
        <v/>
      </c>
    </row>
    <row r="764" customFormat="false" ht="15" hidden="false" customHeight="false" outlineLevel="0" collapsed="false">
      <c r="A764" s="12"/>
      <c r="B764" s="8"/>
      <c r="C764" s="8"/>
      <c r="D764" s="8"/>
      <c r="E764" s="9"/>
      <c r="F764" s="13" t="str">
        <f aca="false">IF(A764="","",MONTH(A764))</f>
        <v/>
      </c>
    </row>
    <row r="765" customFormat="false" ht="15" hidden="false" customHeight="false" outlineLevel="0" collapsed="false">
      <c r="A765" s="12"/>
      <c r="B765" s="8"/>
      <c r="C765" s="8"/>
      <c r="D765" s="8"/>
      <c r="E765" s="9"/>
      <c r="F765" s="13" t="str">
        <f aca="false">IF(A765="","",MONTH(A765))</f>
        <v/>
      </c>
    </row>
    <row r="766" customFormat="false" ht="15" hidden="false" customHeight="false" outlineLevel="0" collapsed="false">
      <c r="A766" s="12"/>
      <c r="B766" s="8"/>
      <c r="C766" s="8"/>
      <c r="D766" s="8"/>
      <c r="E766" s="9"/>
      <c r="F766" s="13" t="str">
        <f aca="false">IF(A766="","",MONTH(A766))</f>
        <v/>
      </c>
    </row>
    <row r="767" customFormat="false" ht="15" hidden="false" customHeight="false" outlineLevel="0" collapsed="false">
      <c r="A767" s="12"/>
      <c r="B767" s="8"/>
      <c r="C767" s="8"/>
      <c r="D767" s="8"/>
      <c r="E767" s="9"/>
      <c r="F767" s="13" t="str">
        <f aca="false">IF(A767="","",MONTH(A767))</f>
        <v/>
      </c>
    </row>
    <row r="768" customFormat="false" ht="15" hidden="false" customHeight="false" outlineLevel="0" collapsed="false">
      <c r="A768" s="12"/>
      <c r="B768" s="8"/>
      <c r="C768" s="8"/>
      <c r="D768" s="8"/>
      <c r="E768" s="9"/>
      <c r="F768" s="13" t="str">
        <f aca="false">IF(A768="","",MONTH(A768))</f>
        <v/>
      </c>
    </row>
    <row r="769" customFormat="false" ht="15" hidden="false" customHeight="false" outlineLevel="0" collapsed="false">
      <c r="A769" s="12"/>
      <c r="B769" s="8"/>
      <c r="C769" s="8"/>
      <c r="D769" s="8"/>
      <c r="E769" s="9"/>
      <c r="F769" s="13" t="str">
        <f aca="false">IF(A769="","",MONTH(A769))</f>
        <v/>
      </c>
    </row>
    <row r="770" customFormat="false" ht="15" hidden="false" customHeight="false" outlineLevel="0" collapsed="false">
      <c r="A770" s="12"/>
      <c r="B770" s="8"/>
      <c r="C770" s="8"/>
      <c r="D770" s="8"/>
      <c r="E770" s="9"/>
      <c r="F770" s="13" t="str">
        <f aca="false">IF(A770="","",MONTH(A770))</f>
        <v/>
      </c>
    </row>
    <row r="771" customFormat="false" ht="15" hidden="false" customHeight="false" outlineLevel="0" collapsed="false">
      <c r="A771" s="12"/>
      <c r="B771" s="8"/>
      <c r="C771" s="8"/>
      <c r="D771" s="8"/>
      <c r="E771" s="9"/>
      <c r="F771" s="13" t="str">
        <f aca="false">IF(A771="","",MONTH(A771))</f>
        <v/>
      </c>
    </row>
    <row r="772" customFormat="false" ht="15" hidden="false" customHeight="false" outlineLevel="0" collapsed="false">
      <c r="A772" s="12"/>
      <c r="B772" s="8"/>
      <c r="C772" s="8"/>
      <c r="D772" s="8"/>
      <c r="E772" s="9"/>
      <c r="F772" s="13" t="str">
        <f aca="false">IF(A772="","",MONTH(A772))</f>
        <v/>
      </c>
    </row>
    <row r="773" customFormat="false" ht="15" hidden="false" customHeight="false" outlineLevel="0" collapsed="false">
      <c r="A773" s="12"/>
      <c r="B773" s="8"/>
      <c r="C773" s="8"/>
      <c r="D773" s="8"/>
      <c r="E773" s="9"/>
      <c r="F773" s="13" t="str">
        <f aca="false">IF(A773="","",MONTH(A773))</f>
        <v/>
      </c>
    </row>
    <row r="774" customFormat="false" ht="15" hidden="false" customHeight="false" outlineLevel="0" collapsed="false">
      <c r="A774" s="12"/>
      <c r="B774" s="8"/>
      <c r="C774" s="8"/>
      <c r="D774" s="8"/>
      <c r="E774" s="9"/>
      <c r="F774" s="13" t="str">
        <f aca="false">IF(A774="","",MONTH(A774))</f>
        <v/>
      </c>
    </row>
    <row r="775" customFormat="false" ht="15" hidden="false" customHeight="false" outlineLevel="0" collapsed="false">
      <c r="A775" s="12"/>
      <c r="B775" s="8"/>
      <c r="C775" s="8"/>
      <c r="D775" s="8"/>
      <c r="E775" s="9"/>
      <c r="F775" s="13" t="str">
        <f aca="false">IF(A775="","",MONTH(A775))</f>
        <v/>
      </c>
    </row>
    <row r="776" customFormat="false" ht="15" hidden="false" customHeight="false" outlineLevel="0" collapsed="false">
      <c r="A776" s="12"/>
      <c r="B776" s="8"/>
      <c r="C776" s="8"/>
      <c r="D776" s="8"/>
      <c r="E776" s="9"/>
      <c r="F776" s="13" t="str">
        <f aca="false">IF(A776="","",MONTH(A776))</f>
        <v/>
      </c>
    </row>
    <row r="777" customFormat="false" ht="15" hidden="false" customHeight="false" outlineLevel="0" collapsed="false">
      <c r="A777" s="12"/>
      <c r="B777" s="8"/>
      <c r="C777" s="8"/>
      <c r="D777" s="8"/>
      <c r="E777" s="9"/>
      <c r="F777" s="13" t="str">
        <f aca="false">IF(A777="","",MONTH(A777))</f>
        <v/>
      </c>
    </row>
    <row r="778" customFormat="false" ht="15" hidden="false" customHeight="false" outlineLevel="0" collapsed="false">
      <c r="A778" s="12"/>
      <c r="B778" s="8"/>
      <c r="C778" s="8"/>
      <c r="D778" s="8"/>
      <c r="E778" s="9"/>
      <c r="F778" s="13" t="str">
        <f aca="false">IF(A778="","",MONTH(A778))</f>
        <v/>
      </c>
    </row>
    <row r="779" customFormat="false" ht="15" hidden="false" customHeight="false" outlineLevel="0" collapsed="false">
      <c r="A779" s="12"/>
      <c r="B779" s="8"/>
      <c r="C779" s="8"/>
      <c r="D779" s="8"/>
      <c r="E779" s="9"/>
      <c r="F779" s="13" t="str">
        <f aca="false">IF(A779="","",MONTH(A779))</f>
        <v/>
      </c>
    </row>
    <row r="780" customFormat="false" ht="15" hidden="false" customHeight="false" outlineLevel="0" collapsed="false">
      <c r="A780" s="12"/>
      <c r="B780" s="8"/>
      <c r="C780" s="8"/>
      <c r="D780" s="8"/>
      <c r="E780" s="9"/>
      <c r="F780" s="13" t="str">
        <f aca="false">IF(A780="","",MONTH(A780))</f>
        <v/>
      </c>
    </row>
    <row r="781" customFormat="false" ht="15" hidden="false" customHeight="false" outlineLevel="0" collapsed="false">
      <c r="A781" s="12"/>
      <c r="B781" s="8"/>
      <c r="C781" s="8"/>
      <c r="D781" s="8"/>
      <c r="E781" s="9"/>
      <c r="F781" s="13" t="str">
        <f aca="false">IF(A781="","",MONTH(A781))</f>
        <v/>
      </c>
    </row>
    <row r="782" customFormat="false" ht="15" hidden="false" customHeight="false" outlineLevel="0" collapsed="false">
      <c r="A782" s="12"/>
      <c r="B782" s="8"/>
      <c r="C782" s="8"/>
      <c r="D782" s="8"/>
      <c r="E782" s="9"/>
      <c r="F782" s="13" t="str">
        <f aca="false">IF(A782="","",MONTH(A782))</f>
        <v/>
      </c>
    </row>
    <row r="783" customFormat="false" ht="15" hidden="false" customHeight="false" outlineLevel="0" collapsed="false">
      <c r="A783" s="12"/>
      <c r="B783" s="8"/>
      <c r="C783" s="8"/>
      <c r="D783" s="8"/>
      <c r="E783" s="9"/>
      <c r="F783" s="13" t="str">
        <f aca="false">IF(A783="","",MONTH(A783))</f>
        <v/>
      </c>
    </row>
    <row r="784" customFormat="false" ht="15" hidden="false" customHeight="false" outlineLevel="0" collapsed="false">
      <c r="A784" s="12"/>
      <c r="B784" s="8"/>
      <c r="C784" s="8"/>
      <c r="D784" s="8"/>
      <c r="E784" s="9"/>
      <c r="F784" s="13" t="str">
        <f aca="false">IF(A784="","",MONTH(A784))</f>
        <v/>
      </c>
    </row>
    <row r="785" customFormat="false" ht="15" hidden="false" customHeight="false" outlineLevel="0" collapsed="false">
      <c r="A785" s="12"/>
      <c r="B785" s="8"/>
      <c r="C785" s="8"/>
      <c r="D785" s="8"/>
      <c r="E785" s="9"/>
      <c r="F785" s="13" t="str">
        <f aca="false">IF(A785="","",MONTH(A785))</f>
        <v/>
      </c>
    </row>
    <row r="786" customFormat="false" ht="15" hidden="false" customHeight="false" outlineLevel="0" collapsed="false">
      <c r="A786" s="12"/>
      <c r="B786" s="8"/>
      <c r="C786" s="8"/>
      <c r="D786" s="8"/>
      <c r="E786" s="9"/>
      <c r="F786" s="13" t="str">
        <f aca="false">IF(A786="","",MONTH(A786))</f>
        <v/>
      </c>
    </row>
    <row r="787" customFormat="false" ht="15" hidden="false" customHeight="false" outlineLevel="0" collapsed="false">
      <c r="A787" s="12"/>
      <c r="B787" s="8"/>
      <c r="C787" s="8"/>
      <c r="D787" s="8"/>
      <c r="E787" s="9"/>
      <c r="F787" s="13" t="str">
        <f aca="false">IF(A787="","",MONTH(A787))</f>
        <v/>
      </c>
    </row>
    <row r="788" customFormat="false" ht="15" hidden="false" customHeight="false" outlineLevel="0" collapsed="false">
      <c r="A788" s="12"/>
      <c r="B788" s="8"/>
      <c r="C788" s="8"/>
      <c r="D788" s="8"/>
      <c r="E788" s="9"/>
      <c r="F788" s="13" t="str">
        <f aca="false">IF(A788="","",MONTH(A788))</f>
        <v/>
      </c>
    </row>
    <row r="789" customFormat="false" ht="15" hidden="false" customHeight="false" outlineLevel="0" collapsed="false">
      <c r="A789" s="12"/>
      <c r="B789" s="8"/>
      <c r="C789" s="8"/>
      <c r="D789" s="8"/>
      <c r="E789" s="9"/>
      <c r="F789" s="13" t="str">
        <f aca="false">IF(A789="","",MONTH(A789))</f>
        <v/>
      </c>
    </row>
    <row r="790" customFormat="false" ht="15" hidden="false" customHeight="false" outlineLevel="0" collapsed="false">
      <c r="A790" s="12"/>
      <c r="B790" s="8"/>
      <c r="C790" s="8"/>
      <c r="D790" s="8"/>
      <c r="E790" s="9"/>
      <c r="F790" s="13" t="str">
        <f aca="false">IF(A790="","",MONTH(A790))</f>
        <v/>
      </c>
    </row>
    <row r="791" customFormat="false" ht="15" hidden="false" customHeight="false" outlineLevel="0" collapsed="false">
      <c r="A791" s="12"/>
      <c r="B791" s="8"/>
      <c r="C791" s="8"/>
      <c r="D791" s="8"/>
      <c r="E791" s="9"/>
      <c r="F791" s="13" t="str">
        <f aca="false">IF(A791="","",MONTH(A791))</f>
        <v/>
      </c>
    </row>
    <row r="792" customFormat="false" ht="15" hidden="false" customHeight="false" outlineLevel="0" collapsed="false">
      <c r="A792" s="12"/>
      <c r="B792" s="8"/>
      <c r="C792" s="8"/>
      <c r="D792" s="8"/>
      <c r="E792" s="9"/>
      <c r="F792" s="13" t="str">
        <f aca="false">IF(A792="","",MONTH(A792))</f>
        <v/>
      </c>
    </row>
    <row r="793" customFormat="false" ht="15" hidden="false" customHeight="false" outlineLevel="0" collapsed="false">
      <c r="A793" s="12"/>
      <c r="B793" s="8"/>
      <c r="C793" s="8"/>
      <c r="D793" s="8"/>
      <c r="E793" s="9"/>
      <c r="F793" s="13" t="str">
        <f aca="false">IF(A793="","",MONTH(A793))</f>
        <v/>
      </c>
    </row>
    <row r="794" customFormat="false" ht="15" hidden="false" customHeight="false" outlineLevel="0" collapsed="false">
      <c r="A794" s="12"/>
      <c r="B794" s="8"/>
      <c r="C794" s="8"/>
      <c r="D794" s="8"/>
      <c r="E794" s="9"/>
      <c r="F794" s="13" t="str">
        <f aca="false">IF(A794="","",MONTH(A794))</f>
        <v/>
      </c>
    </row>
    <row r="795" customFormat="false" ht="15" hidden="false" customHeight="false" outlineLevel="0" collapsed="false">
      <c r="A795" s="12"/>
      <c r="B795" s="8"/>
      <c r="C795" s="8"/>
      <c r="D795" s="8"/>
      <c r="E795" s="9"/>
      <c r="F795" s="13" t="str">
        <f aca="false">IF(A795="","",MONTH(A795))</f>
        <v/>
      </c>
    </row>
    <row r="796" customFormat="false" ht="15" hidden="false" customHeight="false" outlineLevel="0" collapsed="false">
      <c r="A796" s="12"/>
      <c r="B796" s="8"/>
      <c r="C796" s="8"/>
      <c r="D796" s="8"/>
      <c r="E796" s="9"/>
      <c r="F796" s="13" t="str">
        <f aca="false">IF(A796="","",MONTH(A796))</f>
        <v/>
      </c>
    </row>
    <row r="797" customFormat="false" ht="15" hidden="false" customHeight="false" outlineLevel="0" collapsed="false">
      <c r="A797" s="12"/>
      <c r="B797" s="8"/>
      <c r="C797" s="8"/>
      <c r="D797" s="8"/>
      <c r="E797" s="9"/>
      <c r="F797" s="13" t="str">
        <f aca="false">IF(A797="","",MONTH(A797))</f>
        <v/>
      </c>
    </row>
    <row r="798" customFormat="false" ht="15" hidden="false" customHeight="false" outlineLevel="0" collapsed="false">
      <c r="A798" s="12"/>
      <c r="B798" s="8"/>
      <c r="C798" s="8"/>
      <c r="D798" s="8"/>
      <c r="E798" s="9"/>
      <c r="F798" s="13" t="str">
        <f aca="false">IF(A798="","",MONTH(A798))</f>
        <v/>
      </c>
    </row>
    <row r="799" customFormat="false" ht="15" hidden="false" customHeight="false" outlineLevel="0" collapsed="false">
      <c r="A799" s="12"/>
      <c r="B799" s="8"/>
      <c r="C799" s="8"/>
      <c r="D799" s="8"/>
      <c r="E799" s="9"/>
      <c r="F799" s="13" t="str">
        <f aca="false">IF(A799="","",MONTH(A799))</f>
        <v/>
      </c>
    </row>
    <row r="800" customFormat="false" ht="15" hidden="false" customHeight="false" outlineLevel="0" collapsed="false">
      <c r="A800" s="12"/>
      <c r="B800" s="8"/>
      <c r="C800" s="8"/>
      <c r="D800" s="8"/>
      <c r="E800" s="9"/>
      <c r="F800" s="13" t="str">
        <f aca="false">IF(A800="","",MONTH(A800))</f>
        <v/>
      </c>
    </row>
    <row r="801" customFormat="false" ht="15" hidden="false" customHeight="false" outlineLevel="0" collapsed="false">
      <c r="A801" s="12"/>
      <c r="B801" s="8"/>
      <c r="C801" s="8"/>
      <c r="D801" s="8"/>
      <c r="E801" s="9"/>
      <c r="F801" s="13" t="str">
        <f aca="false">IF(A801="","",MONTH(A801))</f>
        <v/>
      </c>
    </row>
    <row r="802" customFormat="false" ht="15" hidden="false" customHeight="false" outlineLevel="0" collapsed="false">
      <c r="A802" s="12"/>
      <c r="B802" s="8"/>
      <c r="C802" s="8"/>
      <c r="D802" s="8"/>
      <c r="E802" s="9"/>
      <c r="F802" s="13" t="str">
        <f aca="false">IF(A802="","",MONTH(A802))</f>
        <v/>
      </c>
    </row>
    <row r="803" customFormat="false" ht="15" hidden="false" customHeight="false" outlineLevel="0" collapsed="false">
      <c r="A803" s="12"/>
      <c r="B803" s="8"/>
      <c r="C803" s="8"/>
      <c r="D803" s="8"/>
      <c r="E803" s="9"/>
      <c r="F803" s="13" t="str">
        <f aca="false">IF(A803="","",MONTH(A803))</f>
        <v/>
      </c>
    </row>
    <row r="804" customFormat="false" ht="15" hidden="false" customHeight="false" outlineLevel="0" collapsed="false">
      <c r="A804" s="12"/>
      <c r="B804" s="8"/>
      <c r="C804" s="8"/>
      <c r="D804" s="8"/>
      <c r="E804" s="9"/>
      <c r="F804" s="13" t="str">
        <f aca="false">IF(A804="","",MONTH(A804))</f>
        <v/>
      </c>
    </row>
    <row r="805" customFormat="false" ht="15" hidden="false" customHeight="false" outlineLevel="0" collapsed="false">
      <c r="A805" s="12"/>
      <c r="B805" s="8"/>
      <c r="C805" s="8"/>
      <c r="D805" s="8"/>
      <c r="E805" s="9"/>
      <c r="F805" s="13" t="str">
        <f aca="false">IF(A805="","",MONTH(A805))</f>
        <v/>
      </c>
    </row>
    <row r="806" customFormat="false" ht="15" hidden="false" customHeight="false" outlineLevel="0" collapsed="false">
      <c r="A806" s="12"/>
      <c r="B806" s="8"/>
      <c r="C806" s="8"/>
      <c r="D806" s="8"/>
      <c r="E806" s="9"/>
      <c r="F806" s="13" t="str">
        <f aca="false">IF(A806="","",MONTH(A806))</f>
        <v/>
      </c>
    </row>
    <row r="807" customFormat="false" ht="15" hidden="false" customHeight="false" outlineLevel="0" collapsed="false">
      <c r="A807" s="12"/>
      <c r="B807" s="8"/>
      <c r="C807" s="8"/>
      <c r="D807" s="8"/>
      <c r="E807" s="9"/>
      <c r="F807" s="13" t="str">
        <f aca="false">IF(A807="","",MONTH(A807))</f>
        <v/>
      </c>
    </row>
    <row r="808" customFormat="false" ht="15" hidden="false" customHeight="false" outlineLevel="0" collapsed="false">
      <c r="A808" s="12"/>
      <c r="B808" s="8"/>
      <c r="C808" s="8"/>
      <c r="D808" s="8"/>
      <c r="E808" s="9"/>
      <c r="F808" s="13" t="str">
        <f aca="false">IF(A808="","",MONTH(A808))</f>
        <v/>
      </c>
    </row>
    <row r="809" customFormat="false" ht="15" hidden="false" customHeight="false" outlineLevel="0" collapsed="false">
      <c r="A809" s="12"/>
      <c r="B809" s="8"/>
      <c r="C809" s="8"/>
      <c r="D809" s="8"/>
      <c r="E809" s="9"/>
      <c r="F809" s="13" t="str">
        <f aca="false">IF(A809="","",MONTH(A809))</f>
        <v/>
      </c>
    </row>
    <row r="810" customFormat="false" ht="15" hidden="false" customHeight="false" outlineLevel="0" collapsed="false">
      <c r="A810" s="12"/>
      <c r="B810" s="8"/>
      <c r="C810" s="8"/>
      <c r="D810" s="8"/>
      <c r="E810" s="9"/>
      <c r="F810" s="13" t="str">
        <f aca="false">IF(A810="","",MONTH(A810))</f>
        <v/>
      </c>
    </row>
    <row r="811" customFormat="false" ht="15" hidden="false" customHeight="false" outlineLevel="0" collapsed="false">
      <c r="A811" s="12"/>
      <c r="B811" s="8"/>
      <c r="C811" s="8"/>
      <c r="D811" s="8"/>
      <c r="E811" s="9"/>
      <c r="F811" s="13" t="str">
        <f aca="false">IF(A811="","",MONTH(A811))</f>
        <v/>
      </c>
    </row>
    <row r="812" customFormat="false" ht="15" hidden="false" customHeight="false" outlineLevel="0" collapsed="false">
      <c r="A812" s="12"/>
      <c r="B812" s="8"/>
      <c r="C812" s="8"/>
      <c r="D812" s="8"/>
      <c r="E812" s="9"/>
      <c r="F812" s="13" t="str">
        <f aca="false">IF(A812="","",MONTH(A812))</f>
        <v/>
      </c>
    </row>
    <row r="813" customFormat="false" ht="15" hidden="false" customHeight="false" outlineLevel="0" collapsed="false">
      <c r="A813" s="12"/>
      <c r="B813" s="8"/>
      <c r="C813" s="8"/>
      <c r="D813" s="8"/>
      <c r="E813" s="9"/>
      <c r="F813" s="13" t="str">
        <f aca="false">IF(A813="","",MONTH(A813))</f>
        <v/>
      </c>
    </row>
    <row r="814" customFormat="false" ht="15" hidden="false" customHeight="false" outlineLevel="0" collapsed="false">
      <c r="A814" s="12"/>
      <c r="B814" s="8"/>
      <c r="C814" s="8"/>
      <c r="D814" s="8"/>
      <c r="E814" s="9"/>
      <c r="F814" s="13" t="str">
        <f aca="false">IF(A814="","",MONTH(A814))</f>
        <v/>
      </c>
    </row>
    <row r="815" customFormat="false" ht="15" hidden="false" customHeight="false" outlineLevel="0" collapsed="false">
      <c r="A815" s="12"/>
      <c r="B815" s="8"/>
      <c r="C815" s="8"/>
      <c r="D815" s="8"/>
      <c r="E815" s="9"/>
      <c r="F815" s="13" t="str">
        <f aca="false">IF(A815="","",MONTH(A815))</f>
        <v/>
      </c>
    </row>
    <row r="816" customFormat="false" ht="15" hidden="false" customHeight="false" outlineLevel="0" collapsed="false">
      <c r="A816" s="12"/>
      <c r="B816" s="8"/>
      <c r="C816" s="8"/>
      <c r="D816" s="8"/>
      <c r="E816" s="9"/>
      <c r="F816" s="13" t="str">
        <f aca="false">IF(A816="","",MONTH(A816))</f>
        <v/>
      </c>
    </row>
    <row r="817" customFormat="false" ht="15" hidden="false" customHeight="false" outlineLevel="0" collapsed="false">
      <c r="A817" s="12"/>
      <c r="B817" s="8"/>
      <c r="C817" s="8"/>
      <c r="D817" s="8"/>
      <c r="E817" s="9"/>
      <c r="F817" s="13" t="str">
        <f aca="false">IF(A817="","",MONTH(A817))</f>
        <v/>
      </c>
    </row>
    <row r="818" customFormat="false" ht="15" hidden="false" customHeight="false" outlineLevel="0" collapsed="false">
      <c r="A818" s="12"/>
      <c r="B818" s="8"/>
      <c r="C818" s="8"/>
      <c r="D818" s="8"/>
      <c r="E818" s="9"/>
      <c r="F818" s="13" t="str">
        <f aca="false">IF(A818="","",MONTH(A818))</f>
        <v/>
      </c>
    </row>
    <row r="819" customFormat="false" ht="15" hidden="false" customHeight="false" outlineLevel="0" collapsed="false">
      <c r="A819" s="12"/>
      <c r="B819" s="8"/>
      <c r="C819" s="8"/>
      <c r="D819" s="8"/>
      <c r="E819" s="9"/>
      <c r="F819" s="13" t="str">
        <f aca="false">IF(A819="","",MONTH(A819))</f>
        <v/>
      </c>
    </row>
    <row r="820" customFormat="false" ht="15" hidden="false" customHeight="false" outlineLevel="0" collapsed="false">
      <c r="A820" s="12"/>
      <c r="B820" s="8"/>
      <c r="C820" s="8"/>
      <c r="D820" s="8"/>
      <c r="E820" s="9"/>
      <c r="F820" s="13" t="str">
        <f aca="false">IF(A820="","",MONTH(A820))</f>
        <v/>
      </c>
    </row>
    <row r="821" customFormat="false" ht="15" hidden="false" customHeight="false" outlineLevel="0" collapsed="false">
      <c r="A821" s="12"/>
      <c r="B821" s="8"/>
      <c r="C821" s="8"/>
      <c r="D821" s="8"/>
      <c r="E821" s="9"/>
      <c r="F821" s="13" t="str">
        <f aca="false">IF(A821="","",MONTH(A821))</f>
        <v/>
      </c>
    </row>
    <row r="822" customFormat="false" ht="15" hidden="false" customHeight="false" outlineLevel="0" collapsed="false">
      <c r="A822" s="12"/>
      <c r="B822" s="8"/>
      <c r="C822" s="8"/>
      <c r="D822" s="8"/>
      <c r="E822" s="9"/>
      <c r="F822" s="13" t="str">
        <f aca="false">IF(A822="","",MONTH(A822))</f>
        <v/>
      </c>
    </row>
    <row r="823" customFormat="false" ht="15" hidden="false" customHeight="false" outlineLevel="0" collapsed="false">
      <c r="A823" s="12"/>
      <c r="B823" s="8"/>
      <c r="C823" s="8"/>
      <c r="D823" s="8"/>
      <c r="E823" s="9"/>
      <c r="F823" s="13" t="str">
        <f aca="false">IF(A823="","",MONTH(A823))</f>
        <v/>
      </c>
    </row>
    <row r="824" customFormat="false" ht="15" hidden="false" customHeight="false" outlineLevel="0" collapsed="false">
      <c r="A824" s="12"/>
      <c r="B824" s="8"/>
      <c r="C824" s="8"/>
      <c r="D824" s="8"/>
      <c r="E824" s="9"/>
      <c r="F824" s="13" t="str">
        <f aca="false">IF(A824="","",MONTH(A824))</f>
        <v/>
      </c>
    </row>
    <row r="825" customFormat="false" ht="15" hidden="false" customHeight="false" outlineLevel="0" collapsed="false">
      <c r="A825" s="12"/>
      <c r="B825" s="8"/>
      <c r="C825" s="8"/>
      <c r="D825" s="8"/>
      <c r="E825" s="9"/>
      <c r="F825" s="13" t="str">
        <f aca="false">IF(A825="","",MONTH(A825))</f>
        <v/>
      </c>
    </row>
    <row r="826" customFormat="false" ht="15" hidden="false" customHeight="false" outlineLevel="0" collapsed="false">
      <c r="A826" s="12"/>
      <c r="B826" s="8"/>
      <c r="C826" s="8"/>
      <c r="D826" s="8"/>
      <c r="E826" s="9"/>
      <c r="F826" s="13" t="str">
        <f aca="false">IF(A826="","",MONTH(A826))</f>
        <v/>
      </c>
    </row>
    <row r="827" customFormat="false" ht="15" hidden="false" customHeight="false" outlineLevel="0" collapsed="false">
      <c r="A827" s="12"/>
      <c r="B827" s="8"/>
      <c r="C827" s="8"/>
      <c r="D827" s="8"/>
      <c r="E827" s="9"/>
      <c r="F827" s="13" t="str">
        <f aca="false">IF(A827="","",MONTH(A827))</f>
        <v/>
      </c>
    </row>
    <row r="828" customFormat="false" ht="15" hidden="false" customHeight="false" outlineLevel="0" collapsed="false">
      <c r="A828" s="12"/>
      <c r="B828" s="8"/>
      <c r="C828" s="8"/>
      <c r="D828" s="8"/>
      <c r="E828" s="9"/>
      <c r="F828" s="13" t="str">
        <f aca="false">IF(A828="","",MONTH(A828))</f>
        <v/>
      </c>
    </row>
    <row r="829" customFormat="false" ht="15" hidden="false" customHeight="false" outlineLevel="0" collapsed="false">
      <c r="A829" s="12"/>
      <c r="B829" s="8"/>
      <c r="C829" s="8"/>
      <c r="D829" s="8"/>
      <c r="E829" s="9"/>
      <c r="F829" s="13" t="str">
        <f aca="false">IF(A829="","",MONTH(A829))</f>
        <v/>
      </c>
    </row>
    <row r="830" customFormat="false" ht="15" hidden="false" customHeight="false" outlineLevel="0" collapsed="false">
      <c r="A830" s="12"/>
      <c r="B830" s="8"/>
      <c r="C830" s="8"/>
      <c r="D830" s="8"/>
      <c r="E830" s="9"/>
      <c r="F830" s="13" t="str">
        <f aca="false">IF(A830="","",MONTH(A830))</f>
        <v/>
      </c>
    </row>
    <row r="831" customFormat="false" ht="15" hidden="false" customHeight="false" outlineLevel="0" collapsed="false">
      <c r="A831" s="12"/>
      <c r="B831" s="8"/>
      <c r="C831" s="8"/>
      <c r="D831" s="8"/>
      <c r="E831" s="9"/>
      <c r="F831" s="13" t="str">
        <f aca="false">IF(A831="","",MONTH(A831))</f>
        <v/>
      </c>
    </row>
    <row r="832" customFormat="false" ht="15" hidden="false" customHeight="false" outlineLevel="0" collapsed="false">
      <c r="A832" s="12"/>
      <c r="B832" s="8"/>
      <c r="C832" s="8"/>
      <c r="D832" s="8"/>
      <c r="E832" s="9"/>
      <c r="F832" s="13" t="str">
        <f aca="false">IF(A832="","",MONTH(A832))</f>
        <v/>
      </c>
    </row>
    <row r="833" customFormat="false" ht="15" hidden="false" customHeight="false" outlineLevel="0" collapsed="false">
      <c r="A833" s="12"/>
      <c r="B833" s="8"/>
      <c r="C833" s="8"/>
      <c r="D833" s="8"/>
      <c r="E833" s="9"/>
      <c r="F833" s="13" t="str">
        <f aca="false">IF(A833="","",MONTH(A833))</f>
        <v/>
      </c>
    </row>
    <row r="834" customFormat="false" ht="15" hidden="false" customHeight="false" outlineLevel="0" collapsed="false">
      <c r="A834" s="12"/>
      <c r="B834" s="8"/>
      <c r="C834" s="8"/>
      <c r="D834" s="8"/>
      <c r="E834" s="9"/>
      <c r="F834" s="13" t="str">
        <f aca="false">IF(A834="","",MONTH(A834))</f>
        <v/>
      </c>
    </row>
    <row r="835" customFormat="false" ht="15" hidden="false" customHeight="false" outlineLevel="0" collapsed="false">
      <c r="A835" s="12"/>
      <c r="B835" s="8"/>
      <c r="C835" s="8"/>
      <c r="D835" s="8"/>
      <c r="E835" s="9"/>
      <c r="F835" s="13" t="str">
        <f aca="false">IF(A835="","",MONTH(A835))</f>
        <v/>
      </c>
    </row>
    <row r="836" customFormat="false" ht="15" hidden="false" customHeight="false" outlineLevel="0" collapsed="false">
      <c r="A836" s="12"/>
      <c r="B836" s="8"/>
      <c r="C836" s="8"/>
      <c r="D836" s="8"/>
      <c r="E836" s="9"/>
      <c r="F836" s="13" t="str">
        <f aca="false">IF(A836="","",MONTH(A836))</f>
        <v/>
      </c>
    </row>
    <row r="837" customFormat="false" ht="15" hidden="false" customHeight="false" outlineLevel="0" collapsed="false">
      <c r="A837" s="12"/>
      <c r="B837" s="8"/>
      <c r="C837" s="8"/>
      <c r="D837" s="8"/>
      <c r="E837" s="9"/>
      <c r="F837" s="13" t="str">
        <f aca="false">IF(A837="","",MONTH(A837))</f>
        <v/>
      </c>
    </row>
    <row r="838" customFormat="false" ht="15" hidden="false" customHeight="false" outlineLevel="0" collapsed="false">
      <c r="A838" s="12"/>
      <c r="B838" s="8"/>
      <c r="C838" s="8"/>
      <c r="D838" s="8"/>
      <c r="E838" s="9"/>
      <c r="F838" s="13" t="str">
        <f aca="false">IF(A838="","",MONTH(A838))</f>
        <v/>
      </c>
    </row>
    <row r="839" customFormat="false" ht="15" hidden="false" customHeight="false" outlineLevel="0" collapsed="false">
      <c r="A839" s="12"/>
      <c r="B839" s="8"/>
      <c r="C839" s="8"/>
      <c r="D839" s="8"/>
      <c r="E839" s="9"/>
      <c r="F839" s="13" t="str">
        <f aca="false">IF(A839="","",MONTH(A839))</f>
        <v/>
      </c>
    </row>
    <row r="840" customFormat="false" ht="15" hidden="false" customHeight="false" outlineLevel="0" collapsed="false">
      <c r="A840" s="12"/>
      <c r="B840" s="8"/>
      <c r="C840" s="8"/>
      <c r="D840" s="8"/>
      <c r="E840" s="9"/>
      <c r="F840" s="13" t="str">
        <f aca="false">IF(A840="","",MONTH(A840))</f>
        <v/>
      </c>
    </row>
    <row r="841" customFormat="false" ht="15" hidden="false" customHeight="false" outlineLevel="0" collapsed="false">
      <c r="A841" s="12"/>
      <c r="B841" s="8"/>
      <c r="C841" s="8"/>
      <c r="D841" s="8"/>
      <c r="E841" s="9"/>
      <c r="F841" s="13" t="str">
        <f aca="false">IF(A841="","",MONTH(A841))</f>
        <v/>
      </c>
    </row>
    <row r="842" customFormat="false" ht="15" hidden="false" customHeight="false" outlineLevel="0" collapsed="false">
      <c r="A842" s="12"/>
      <c r="B842" s="8"/>
      <c r="C842" s="8"/>
      <c r="D842" s="8"/>
      <c r="E842" s="9"/>
      <c r="F842" s="13" t="str">
        <f aca="false">IF(A842="","",MONTH(A842))</f>
        <v/>
      </c>
    </row>
    <row r="843" customFormat="false" ht="15" hidden="false" customHeight="false" outlineLevel="0" collapsed="false">
      <c r="A843" s="12"/>
      <c r="B843" s="8"/>
      <c r="C843" s="8"/>
      <c r="D843" s="8"/>
      <c r="E843" s="9"/>
      <c r="F843" s="13" t="str">
        <f aca="false">IF(A843="","",MONTH(A843))</f>
        <v/>
      </c>
    </row>
    <row r="844" customFormat="false" ht="15" hidden="false" customHeight="false" outlineLevel="0" collapsed="false">
      <c r="A844" s="12"/>
      <c r="B844" s="8"/>
      <c r="C844" s="8"/>
      <c r="D844" s="8"/>
      <c r="E844" s="9"/>
      <c r="F844" s="13" t="str">
        <f aca="false">IF(A844="","",MONTH(A844))</f>
        <v/>
      </c>
    </row>
    <row r="845" customFormat="false" ht="15" hidden="false" customHeight="false" outlineLevel="0" collapsed="false">
      <c r="A845" s="12"/>
      <c r="B845" s="8"/>
      <c r="C845" s="8"/>
      <c r="D845" s="8"/>
      <c r="E845" s="9"/>
      <c r="F845" s="13" t="str">
        <f aca="false">IF(A845="","",MONTH(A845))</f>
        <v/>
      </c>
    </row>
    <row r="846" customFormat="false" ht="15" hidden="false" customHeight="false" outlineLevel="0" collapsed="false">
      <c r="A846" s="12"/>
      <c r="B846" s="8"/>
      <c r="C846" s="8"/>
      <c r="D846" s="8"/>
      <c r="E846" s="9"/>
      <c r="F846" s="13" t="str">
        <f aca="false">IF(A846="","",MONTH(A846))</f>
        <v/>
      </c>
    </row>
    <row r="847" customFormat="false" ht="15" hidden="false" customHeight="false" outlineLevel="0" collapsed="false">
      <c r="A847" s="12"/>
      <c r="B847" s="8"/>
      <c r="C847" s="8"/>
      <c r="D847" s="8"/>
      <c r="E847" s="9"/>
      <c r="F847" s="13" t="str">
        <f aca="false">IF(A847="","",MONTH(A847))</f>
        <v/>
      </c>
    </row>
    <row r="848" customFormat="false" ht="15" hidden="false" customHeight="false" outlineLevel="0" collapsed="false">
      <c r="A848" s="12"/>
      <c r="B848" s="8"/>
      <c r="C848" s="8"/>
      <c r="D848" s="8"/>
      <c r="E848" s="9"/>
      <c r="F848" s="13" t="str">
        <f aca="false">IF(A848="","",MONTH(A848))</f>
        <v/>
      </c>
    </row>
    <row r="849" customFormat="false" ht="15" hidden="false" customHeight="false" outlineLevel="0" collapsed="false">
      <c r="A849" s="12"/>
      <c r="B849" s="8"/>
      <c r="C849" s="8"/>
      <c r="D849" s="8"/>
      <c r="E849" s="9"/>
      <c r="F849" s="13" t="str">
        <f aca="false">IF(A849="","",MONTH(A849))</f>
        <v/>
      </c>
    </row>
    <row r="850" customFormat="false" ht="15" hidden="false" customHeight="false" outlineLevel="0" collapsed="false">
      <c r="A850" s="12"/>
      <c r="B850" s="8"/>
      <c r="C850" s="8"/>
      <c r="D850" s="8"/>
      <c r="E850" s="9"/>
      <c r="F850" s="13" t="str">
        <f aca="false">IF(A850="","",MONTH(A850))</f>
        <v/>
      </c>
    </row>
    <row r="851" customFormat="false" ht="15" hidden="false" customHeight="false" outlineLevel="0" collapsed="false">
      <c r="A851" s="12"/>
      <c r="B851" s="8"/>
      <c r="C851" s="8"/>
      <c r="D851" s="8"/>
      <c r="E851" s="9"/>
      <c r="F851" s="13" t="str">
        <f aca="false">IF(A851="","",MONTH(A851))</f>
        <v/>
      </c>
    </row>
    <row r="852" customFormat="false" ht="15" hidden="false" customHeight="false" outlineLevel="0" collapsed="false">
      <c r="A852" s="12"/>
      <c r="B852" s="8"/>
      <c r="C852" s="8"/>
      <c r="D852" s="8"/>
      <c r="E852" s="9"/>
      <c r="F852" s="13" t="str">
        <f aca="false">IF(A852="","",MONTH(A852))</f>
        <v/>
      </c>
    </row>
    <row r="853" customFormat="false" ht="15" hidden="false" customHeight="false" outlineLevel="0" collapsed="false">
      <c r="A853" s="12"/>
      <c r="B853" s="8"/>
      <c r="C853" s="8"/>
      <c r="D853" s="8"/>
      <c r="E853" s="9"/>
      <c r="F853" s="13" t="str">
        <f aca="false">IF(A853="","",MONTH(A853))</f>
        <v/>
      </c>
    </row>
    <row r="854" customFormat="false" ht="15" hidden="false" customHeight="false" outlineLevel="0" collapsed="false">
      <c r="A854" s="12"/>
      <c r="B854" s="8"/>
      <c r="C854" s="8"/>
      <c r="D854" s="8"/>
      <c r="E854" s="9"/>
      <c r="F854" s="13" t="str">
        <f aca="false">IF(A854="","",MONTH(A854))</f>
        <v/>
      </c>
    </row>
    <row r="855" customFormat="false" ht="15" hidden="false" customHeight="false" outlineLevel="0" collapsed="false">
      <c r="A855" s="12"/>
      <c r="B855" s="8"/>
      <c r="C855" s="8"/>
      <c r="D855" s="8"/>
      <c r="E855" s="9"/>
      <c r="F855" s="13" t="str">
        <f aca="false">IF(A855="","",MONTH(A855))</f>
        <v/>
      </c>
    </row>
    <row r="856" customFormat="false" ht="15" hidden="false" customHeight="false" outlineLevel="0" collapsed="false">
      <c r="A856" s="12"/>
      <c r="B856" s="8"/>
      <c r="C856" s="8"/>
      <c r="D856" s="8"/>
      <c r="E856" s="9"/>
      <c r="F856" s="13" t="str">
        <f aca="false">IF(A856="","",MONTH(A856))</f>
        <v/>
      </c>
    </row>
    <row r="857" customFormat="false" ht="15" hidden="false" customHeight="false" outlineLevel="0" collapsed="false">
      <c r="A857" s="12"/>
      <c r="B857" s="8"/>
      <c r="C857" s="8"/>
      <c r="D857" s="8"/>
      <c r="E857" s="9"/>
      <c r="F857" s="13" t="str">
        <f aca="false">IF(A857="","",MONTH(A857))</f>
        <v/>
      </c>
    </row>
    <row r="858" customFormat="false" ht="15" hidden="false" customHeight="false" outlineLevel="0" collapsed="false">
      <c r="A858" s="12"/>
      <c r="B858" s="8"/>
      <c r="C858" s="8"/>
      <c r="D858" s="8"/>
      <c r="E858" s="9"/>
      <c r="F858" s="13" t="str">
        <f aca="false">IF(A858="","",MONTH(A858))</f>
        <v/>
      </c>
    </row>
    <row r="859" customFormat="false" ht="15" hidden="false" customHeight="false" outlineLevel="0" collapsed="false">
      <c r="A859" s="12"/>
      <c r="B859" s="8"/>
      <c r="C859" s="8"/>
      <c r="D859" s="8"/>
      <c r="E859" s="9"/>
      <c r="F859" s="13" t="str">
        <f aca="false">IF(A859="","",MONTH(A859))</f>
        <v/>
      </c>
    </row>
    <row r="860" customFormat="false" ht="15" hidden="false" customHeight="false" outlineLevel="0" collapsed="false">
      <c r="A860" s="12"/>
      <c r="B860" s="8"/>
      <c r="C860" s="8"/>
      <c r="D860" s="8"/>
      <c r="E860" s="9"/>
      <c r="F860" s="13" t="str">
        <f aca="false">IF(A860="","",MONTH(A860))</f>
        <v/>
      </c>
    </row>
    <row r="861" customFormat="false" ht="15" hidden="false" customHeight="false" outlineLevel="0" collapsed="false">
      <c r="A861" s="12"/>
      <c r="B861" s="8"/>
      <c r="C861" s="8"/>
      <c r="D861" s="8"/>
      <c r="E861" s="9"/>
      <c r="F861" s="13" t="str">
        <f aca="false">IF(A861="","",MONTH(A861))</f>
        <v/>
      </c>
    </row>
    <row r="862" customFormat="false" ht="15" hidden="false" customHeight="false" outlineLevel="0" collapsed="false">
      <c r="A862" s="12"/>
      <c r="B862" s="8"/>
      <c r="C862" s="8"/>
      <c r="D862" s="8"/>
      <c r="E862" s="9"/>
      <c r="F862" s="13" t="str">
        <f aca="false">IF(A862="","",MONTH(A862))</f>
        <v/>
      </c>
    </row>
    <row r="863" customFormat="false" ht="15" hidden="false" customHeight="false" outlineLevel="0" collapsed="false">
      <c r="A863" s="12"/>
      <c r="B863" s="8"/>
      <c r="C863" s="8"/>
      <c r="D863" s="8"/>
      <c r="E863" s="9"/>
      <c r="F863" s="13" t="str">
        <f aca="false">IF(A863="","",MONTH(A863))</f>
        <v/>
      </c>
    </row>
    <row r="864" customFormat="false" ht="15" hidden="false" customHeight="false" outlineLevel="0" collapsed="false">
      <c r="A864" s="12"/>
      <c r="B864" s="8"/>
      <c r="C864" s="8"/>
      <c r="D864" s="8"/>
      <c r="E864" s="9"/>
      <c r="F864" s="13" t="str">
        <f aca="false">IF(A864="","",MONTH(A864))</f>
        <v/>
      </c>
    </row>
    <row r="865" customFormat="false" ht="15" hidden="false" customHeight="false" outlineLevel="0" collapsed="false">
      <c r="A865" s="12"/>
      <c r="B865" s="8"/>
      <c r="C865" s="8"/>
      <c r="D865" s="8"/>
      <c r="E865" s="9"/>
      <c r="F865" s="13" t="str">
        <f aca="false">IF(A865="","",MONTH(A865))</f>
        <v/>
      </c>
    </row>
    <row r="866" customFormat="false" ht="15" hidden="false" customHeight="false" outlineLevel="0" collapsed="false">
      <c r="A866" s="12"/>
      <c r="B866" s="8"/>
      <c r="C866" s="8"/>
      <c r="D866" s="8"/>
      <c r="E866" s="9"/>
      <c r="F866" s="13" t="str">
        <f aca="false">IF(A866="","",MONTH(A866))</f>
        <v/>
      </c>
    </row>
    <row r="867" customFormat="false" ht="15" hidden="false" customHeight="false" outlineLevel="0" collapsed="false">
      <c r="A867" s="12"/>
      <c r="B867" s="8"/>
      <c r="C867" s="8"/>
      <c r="D867" s="8"/>
      <c r="E867" s="9"/>
      <c r="F867" s="13" t="str">
        <f aca="false">IF(A867="","",MONTH(A867))</f>
        <v/>
      </c>
    </row>
    <row r="868" customFormat="false" ht="15" hidden="false" customHeight="false" outlineLevel="0" collapsed="false">
      <c r="A868" s="12"/>
      <c r="B868" s="8"/>
      <c r="C868" s="8"/>
      <c r="D868" s="8"/>
      <c r="E868" s="9"/>
      <c r="F868" s="13" t="str">
        <f aca="false">IF(A868="","",MONTH(A868))</f>
        <v/>
      </c>
    </row>
    <row r="869" customFormat="false" ht="15" hidden="false" customHeight="false" outlineLevel="0" collapsed="false">
      <c r="A869" s="12"/>
      <c r="B869" s="8"/>
      <c r="C869" s="8"/>
      <c r="D869" s="8"/>
      <c r="E869" s="9"/>
      <c r="F869" s="13" t="str">
        <f aca="false">IF(A869="","",MONTH(A869))</f>
        <v/>
      </c>
    </row>
    <row r="870" customFormat="false" ht="15" hidden="false" customHeight="false" outlineLevel="0" collapsed="false">
      <c r="A870" s="12"/>
      <c r="B870" s="8"/>
      <c r="C870" s="8"/>
      <c r="D870" s="8"/>
      <c r="E870" s="9"/>
      <c r="F870" s="13" t="str">
        <f aca="false">IF(A870="","",MONTH(A870))</f>
        <v/>
      </c>
    </row>
    <row r="871" customFormat="false" ht="15" hidden="false" customHeight="false" outlineLevel="0" collapsed="false">
      <c r="A871" s="12"/>
      <c r="B871" s="8"/>
      <c r="C871" s="8"/>
      <c r="D871" s="8"/>
      <c r="E871" s="9"/>
      <c r="F871" s="13" t="str">
        <f aca="false">IF(A871="","",MONTH(A871))</f>
        <v/>
      </c>
    </row>
    <row r="872" customFormat="false" ht="15" hidden="false" customHeight="false" outlineLevel="0" collapsed="false">
      <c r="A872" s="12"/>
      <c r="B872" s="8"/>
      <c r="C872" s="8"/>
      <c r="D872" s="8"/>
      <c r="E872" s="9"/>
      <c r="F872" s="13" t="str">
        <f aca="false">IF(A872="","",MONTH(A872))</f>
        <v/>
      </c>
    </row>
    <row r="873" customFormat="false" ht="15" hidden="false" customHeight="false" outlineLevel="0" collapsed="false">
      <c r="A873" s="12"/>
      <c r="B873" s="8"/>
      <c r="C873" s="8"/>
      <c r="D873" s="8"/>
      <c r="E873" s="9"/>
      <c r="F873" s="13" t="str">
        <f aca="false">IF(A873="","",MONTH(A873))</f>
        <v/>
      </c>
    </row>
    <row r="874" customFormat="false" ht="15" hidden="false" customHeight="false" outlineLevel="0" collapsed="false">
      <c r="A874" s="12"/>
      <c r="B874" s="8"/>
      <c r="C874" s="8"/>
      <c r="D874" s="8"/>
      <c r="E874" s="9"/>
      <c r="F874" s="13" t="str">
        <f aca="false">IF(A874="","",MONTH(A874))</f>
        <v/>
      </c>
    </row>
    <row r="875" customFormat="false" ht="15" hidden="false" customHeight="false" outlineLevel="0" collapsed="false">
      <c r="A875" s="12"/>
      <c r="B875" s="8"/>
      <c r="C875" s="8"/>
      <c r="D875" s="8"/>
      <c r="E875" s="9"/>
      <c r="F875" s="13" t="str">
        <f aca="false">IF(A875="","",MONTH(A875))</f>
        <v/>
      </c>
    </row>
    <row r="876" customFormat="false" ht="15" hidden="false" customHeight="false" outlineLevel="0" collapsed="false">
      <c r="A876" s="12"/>
      <c r="B876" s="8"/>
      <c r="C876" s="8"/>
      <c r="D876" s="8"/>
      <c r="E876" s="9"/>
      <c r="F876" s="13" t="str">
        <f aca="false">IF(A876="","",MONTH(A876))</f>
        <v/>
      </c>
    </row>
    <row r="877" customFormat="false" ht="15" hidden="false" customHeight="false" outlineLevel="0" collapsed="false">
      <c r="A877" s="12"/>
      <c r="B877" s="8"/>
      <c r="C877" s="8"/>
      <c r="D877" s="8"/>
      <c r="E877" s="9"/>
      <c r="F877" s="13" t="str">
        <f aca="false">IF(A877="","",MONTH(A877))</f>
        <v/>
      </c>
    </row>
    <row r="878" customFormat="false" ht="15" hidden="false" customHeight="false" outlineLevel="0" collapsed="false">
      <c r="A878" s="12"/>
      <c r="B878" s="8"/>
      <c r="C878" s="8"/>
      <c r="D878" s="8"/>
      <c r="E878" s="9"/>
      <c r="F878" s="13" t="str">
        <f aca="false">IF(A878="","",MONTH(A878))</f>
        <v/>
      </c>
    </row>
    <row r="879" customFormat="false" ht="15" hidden="false" customHeight="false" outlineLevel="0" collapsed="false">
      <c r="A879" s="12"/>
      <c r="B879" s="8"/>
      <c r="C879" s="8"/>
      <c r="D879" s="8"/>
      <c r="E879" s="9"/>
      <c r="F879" s="13" t="str">
        <f aca="false">IF(A879="","",MONTH(A879))</f>
        <v/>
      </c>
    </row>
    <row r="880" customFormat="false" ht="15" hidden="false" customHeight="false" outlineLevel="0" collapsed="false">
      <c r="A880" s="12"/>
      <c r="B880" s="8"/>
      <c r="C880" s="8"/>
      <c r="D880" s="8"/>
      <c r="E880" s="9"/>
      <c r="F880" s="13" t="str">
        <f aca="false">IF(A880="","",MONTH(A880))</f>
        <v/>
      </c>
    </row>
    <row r="881" customFormat="false" ht="15" hidden="false" customHeight="false" outlineLevel="0" collapsed="false">
      <c r="A881" s="12"/>
      <c r="B881" s="8"/>
      <c r="C881" s="8"/>
      <c r="D881" s="8"/>
      <c r="E881" s="9"/>
      <c r="F881" s="13" t="str">
        <f aca="false">IF(A881="","",MONTH(A881))</f>
        <v/>
      </c>
    </row>
    <row r="882" customFormat="false" ht="15" hidden="false" customHeight="false" outlineLevel="0" collapsed="false">
      <c r="A882" s="12"/>
      <c r="B882" s="8"/>
      <c r="C882" s="8"/>
      <c r="D882" s="8"/>
      <c r="E882" s="9"/>
      <c r="F882" s="13" t="str">
        <f aca="false">IF(A882="","",MONTH(A882))</f>
        <v/>
      </c>
    </row>
    <row r="883" customFormat="false" ht="15" hidden="false" customHeight="false" outlineLevel="0" collapsed="false">
      <c r="A883" s="12"/>
      <c r="B883" s="8"/>
      <c r="C883" s="8"/>
      <c r="D883" s="8"/>
      <c r="E883" s="9"/>
      <c r="F883" s="13" t="str">
        <f aca="false">IF(A883="","",MONTH(A883))</f>
        <v/>
      </c>
    </row>
    <row r="884" customFormat="false" ht="15" hidden="false" customHeight="false" outlineLevel="0" collapsed="false">
      <c r="A884" s="12"/>
      <c r="B884" s="8"/>
      <c r="C884" s="8"/>
      <c r="D884" s="8"/>
      <c r="E884" s="9"/>
      <c r="F884" s="13" t="str">
        <f aca="false">IF(A884="","",MONTH(A884))</f>
        <v/>
      </c>
    </row>
    <row r="885" customFormat="false" ht="15" hidden="false" customHeight="false" outlineLevel="0" collapsed="false">
      <c r="A885" s="12"/>
      <c r="B885" s="8"/>
      <c r="C885" s="8"/>
      <c r="D885" s="8"/>
      <c r="E885" s="9"/>
      <c r="F885" s="13" t="str">
        <f aca="false">IF(A885="","",MONTH(A885))</f>
        <v/>
      </c>
    </row>
    <row r="886" customFormat="false" ht="15" hidden="false" customHeight="false" outlineLevel="0" collapsed="false">
      <c r="A886" s="12"/>
      <c r="B886" s="8"/>
      <c r="C886" s="8"/>
      <c r="D886" s="8"/>
      <c r="E886" s="9"/>
      <c r="F886" s="13" t="str">
        <f aca="false">IF(A886="","",MONTH(A886))</f>
        <v/>
      </c>
    </row>
    <row r="887" customFormat="false" ht="15" hidden="false" customHeight="false" outlineLevel="0" collapsed="false">
      <c r="A887" s="12"/>
      <c r="B887" s="8"/>
      <c r="C887" s="8"/>
      <c r="D887" s="8"/>
      <c r="E887" s="9"/>
      <c r="F887" s="13" t="str">
        <f aca="false">IF(A887="","",MONTH(A887))</f>
        <v/>
      </c>
    </row>
    <row r="888" customFormat="false" ht="15" hidden="false" customHeight="false" outlineLevel="0" collapsed="false">
      <c r="A888" s="12"/>
      <c r="B888" s="8"/>
      <c r="C888" s="8"/>
      <c r="D888" s="8"/>
      <c r="E888" s="9"/>
      <c r="F888" s="13" t="str">
        <f aca="false">IF(A888="","",MONTH(A888))</f>
        <v/>
      </c>
    </row>
    <row r="889" customFormat="false" ht="15" hidden="false" customHeight="false" outlineLevel="0" collapsed="false">
      <c r="A889" s="12"/>
      <c r="B889" s="8"/>
      <c r="C889" s="8"/>
      <c r="D889" s="8"/>
      <c r="E889" s="9"/>
      <c r="F889" s="13" t="str">
        <f aca="false">IF(A889="","",MONTH(A889))</f>
        <v/>
      </c>
    </row>
    <row r="890" customFormat="false" ht="15" hidden="false" customHeight="false" outlineLevel="0" collapsed="false">
      <c r="A890" s="12"/>
      <c r="B890" s="8"/>
      <c r="C890" s="8"/>
      <c r="D890" s="8"/>
      <c r="E890" s="9"/>
      <c r="F890" s="13" t="str">
        <f aca="false">IF(A890="","",MONTH(A890))</f>
        <v/>
      </c>
    </row>
    <row r="891" customFormat="false" ht="15" hidden="false" customHeight="false" outlineLevel="0" collapsed="false">
      <c r="A891" s="12"/>
      <c r="B891" s="8"/>
      <c r="C891" s="8"/>
      <c r="D891" s="8"/>
      <c r="E891" s="9"/>
      <c r="F891" s="13" t="str">
        <f aca="false">IF(A891="","",MONTH(A891))</f>
        <v/>
      </c>
    </row>
    <row r="892" customFormat="false" ht="15" hidden="false" customHeight="false" outlineLevel="0" collapsed="false">
      <c r="A892" s="12"/>
      <c r="B892" s="8"/>
      <c r="C892" s="8"/>
      <c r="D892" s="8"/>
      <c r="E892" s="9"/>
      <c r="F892" s="13" t="str">
        <f aca="false">IF(A892="","",MONTH(A892))</f>
        <v/>
      </c>
    </row>
    <row r="893" customFormat="false" ht="15" hidden="false" customHeight="false" outlineLevel="0" collapsed="false">
      <c r="A893" s="12"/>
      <c r="B893" s="8"/>
      <c r="C893" s="8"/>
      <c r="D893" s="8"/>
      <c r="E893" s="9"/>
      <c r="F893" s="13" t="str">
        <f aca="false">IF(A893="","",MONTH(A893))</f>
        <v/>
      </c>
    </row>
    <row r="894" customFormat="false" ht="15" hidden="false" customHeight="false" outlineLevel="0" collapsed="false">
      <c r="A894" s="12"/>
      <c r="B894" s="8"/>
      <c r="C894" s="8"/>
      <c r="D894" s="8"/>
      <c r="E894" s="9"/>
      <c r="F894" s="13" t="str">
        <f aca="false">IF(A894="","",MONTH(A894))</f>
        <v/>
      </c>
    </row>
    <row r="895" customFormat="false" ht="15" hidden="false" customHeight="false" outlineLevel="0" collapsed="false">
      <c r="A895" s="12"/>
      <c r="B895" s="8"/>
      <c r="C895" s="8"/>
      <c r="D895" s="8"/>
      <c r="E895" s="9"/>
      <c r="F895" s="13" t="str">
        <f aca="false">IF(A895="","",MONTH(A895))</f>
        <v/>
      </c>
    </row>
    <row r="896" customFormat="false" ht="15" hidden="false" customHeight="false" outlineLevel="0" collapsed="false">
      <c r="A896" s="12"/>
      <c r="B896" s="8"/>
      <c r="C896" s="8"/>
      <c r="D896" s="8"/>
      <c r="E896" s="9"/>
      <c r="F896" s="13" t="str">
        <f aca="false">IF(A896="","",MONTH(A896))</f>
        <v/>
      </c>
    </row>
    <row r="897" customFormat="false" ht="15" hidden="false" customHeight="false" outlineLevel="0" collapsed="false">
      <c r="A897" s="12"/>
      <c r="B897" s="8"/>
      <c r="C897" s="8"/>
      <c r="D897" s="8"/>
      <c r="E897" s="9"/>
      <c r="F897" s="13" t="str">
        <f aca="false">IF(A897="","",MONTH(A897))</f>
        <v/>
      </c>
    </row>
    <row r="898" customFormat="false" ht="15" hidden="false" customHeight="false" outlineLevel="0" collapsed="false">
      <c r="A898" s="12"/>
      <c r="B898" s="8"/>
      <c r="C898" s="8"/>
      <c r="D898" s="8"/>
      <c r="E898" s="9"/>
      <c r="F898" s="13" t="str">
        <f aca="false">IF(A898="","",MONTH(A898))</f>
        <v/>
      </c>
    </row>
    <row r="899" customFormat="false" ht="15" hidden="false" customHeight="false" outlineLevel="0" collapsed="false">
      <c r="A899" s="12"/>
      <c r="B899" s="8"/>
      <c r="C899" s="8"/>
      <c r="D899" s="8"/>
      <c r="E899" s="9"/>
      <c r="F899" s="13" t="str">
        <f aca="false">IF(A899="","",MONTH(A899))</f>
        <v/>
      </c>
    </row>
    <row r="900" customFormat="false" ht="15" hidden="false" customHeight="false" outlineLevel="0" collapsed="false">
      <c r="A900" s="12"/>
      <c r="B900" s="8"/>
      <c r="C900" s="8"/>
      <c r="D900" s="8"/>
      <c r="E900" s="9"/>
      <c r="F900" s="13" t="str">
        <f aca="false">IF(A900="","",MONTH(A900))</f>
        <v/>
      </c>
    </row>
    <row r="901" customFormat="false" ht="15" hidden="false" customHeight="false" outlineLevel="0" collapsed="false">
      <c r="A901" s="12"/>
      <c r="B901" s="8"/>
      <c r="C901" s="8"/>
      <c r="D901" s="8"/>
      <c r="E901" s="9"/>
      <c r="F901" s="13" t="str">
        <f aca="false">IF(A901="","",MONTH(A901))</f>
        <v/>
      </c>
    </row>
    <row r="902" customFormat="false" ht="15" hidden="false" customHeight="false" outlineLevel="0" collapsed="false">
      <c r="A902" s="12"/>
      <c r="B902" s="8"/>
      <c r="C902" s="8"/>
      <c r="D902" s="8"/>
      <c r="E902" s="9"/>
      <c r="F902" s="13" t="str">
        <f aca="false">IF(A902="","",MONTH(A902))</f>
        <v/>
      </c>
    </row>
    <row r="903" customFormat="false" ht="15" hidden="false" customHeight="false" outlineLevel="0" collapsed="false">
      <c r="A903" s="12"/>
      <c r="B903" s="8"/>
      <c r="C903" s="8"/>
      <c r="D903" s="8"/>
      <c r="E903" s="9"/>
      <c r="F903" s="13" t="str">
        <f aca="false">IF(A903="","",MONTH(A903))</f>
        <v/>
      </c>
    </row>
    <row r="904" customFormat="false" ht="15" hidden="false" customHeight="false" outlineLevel="0" collapsed="false">
      <c r="A904" s="12"/>
      <c r="B904" s="8"/>
      <c r="C904" s="8"/>
      <c r="D904" s="8"/>
      <c r="E904" s="9"/>
      <c r="F904" s="13" t="str">
        <f aca="false">IF(A904="","",MONTH(A904))</f>
        <v/>
      </c>
    </row>
    <row r="905" customFormat="false" ht="15" hidden="false" customHeight="false" outlineLevel="0" collapsed="false">
      <c r="A905" s="12"/>
      <c r="B905" s="8"/>
      <c r="C905" s="8"/>
      <c r="D905" s="8"/>
      <c r="E905" s="9"/>
      <c r="F905" s="13" t="str">
        <f aca="false">IF(A905="","",MONTH(A905))</f>
        <v/>
      </c>
    </row>
    <row r="906" customFormat="false" ht="15" hidden="false" customHeight="false" outlineLevel="0" collapsed="false">
      <c r="A906" s="12"/>
      <c r="B906" s="8"/>
      <c r="C906" s="8"/>
      <c r="D906" s="8"/>
      <c r="E906" s="9"/>
      <c r="F906" s="13" t="str">
        <f aca="false">IF(A906="","",MONTH(A906))</f>
        <v/>
      </c>
    </row>
    <row r="907" customFormat="false" ht="15" hidden="false" customHeight="false" outlineLevel="0" collapsed="false">
      <c r="A907" s="12"/>
      <c r="B907" s="8"/>
      <c r="C907" s="8"/>
      <c r="D907" s="8"/>
      <c r="E907" s="9"/>
      <c r="F907" s="13" t="str">
        <f aca="false">IF(A907="","",MONTH(A907))</f>
        <v/>
      </c>
    </row>
    <row r="908" customFormat="false" ht="15" hidden="false" customHeight="false" outlineLevel="0" collapsed="false">
      <c r="A908" s="12"/>
      <c r="B908" s="8"/>
      <c r="C908" s="8"/>
      <c r="D908" s="8"/>
      <c r="E908" s="9"/>
      <c r="F908" s="13" t="str">
        <f aca="false">IF(A908="","",MONTH(A908))</f>
        <v/>
      </c>
    </row>
    <row r="909" customFormat="false" ht="15" hidden="false" customHeight="false" outlineLevel="0" collapsed="false">
      <c r="A909" s="12"/>
      <c r="B909" s="8"/>
      <c r="C909" s="8"/>
      <c r="D909" s="8"/>
      <c r="E909" s="9"/>
      <c r="F909" s="13" t="str">
        <f aca="false">IF(A909="","",MONTH(A909))</f>
        <v/>
      </c>
    </row>
    <row r="910" customFormat="false" ht="15" hidden="false" customHeight="false" outlineLevel="0" collapsed="false">
      <c r="A910" s="12"/>
      <c r="B910" s="8"/>
      <c r="C910" s="8"/>
      <c r="D910" s="8"/>
      <c r="E910" s="9"/>
      <c r="F910" s="13" t="str">
        <f aca="false">IF(A910="","",MONTH(A910))</f>
        <v/>
      </c>
    </row>
    <row r="911" customFormat="false" ht="15" hidden="false" customHeight="false" outlineLevel="0" collapsed="false">
      <c r="A911" s="12"/>
      <c r="B911" s="8"/>
      <c r="C911" s="8"/>
      <c r="D911" s="8"/>
      <c r="E911" s="9"/>
      <c r="F911" s="13" t="str">
        <f aca="false">IF(A911="","",MONTH(A911))</f>
        <v/>
      </c>
    </row>
    <row r="912" customFormat="false" ht="15" hidden="false" customHeight="false" outlineLevel="0" collapsed="false">
      <c r="A912" s="12"/>
      <c r="B912" s="8"/>
      <c r="C912" s="8"/>
      <c r="D912" s="8"/>
      <c r="E912" s="9"/>
      <c r="F912" s="13" t="str">
        <f aca="false">IF(A912="","",MONTH(A912))</f>
        <v/>
      </c>
    </row>
    <row r="913" customFormat="false" ht="15" hidden="false" customHeight="false" outlineLevel="0" collapsed="false">
      <c r="A913" s="12"/>
      <c r="B913" s="8"/>
      <c r="C913" s="8"/>
      <c r="D913" s="8"/>
      <c r="E913" s="9"/>
      <c r="F913" s="13" t="str">
        <f aca="false">IF(A913="","",MONTH(A913))</f>
        <v/>
      </c>
    </row>
    <row r="914" customFormat="false" ht="15" hidden="false" customHeight="false" outlineLevel="0" collapsed="false">
      <c r="A914" s="12"/>
      <c r="B914" s="8"/>
      <c r="C914" s="8"/>
      <c r="D914" s="8"/>
      <c r="E914" s="9"/>
      <c r="F914" s="13" t="str">
        <f aca="false">IF(A914="","",MONTH(A914))</f>
        <v/>
      </c>
    </row>
    <row r="915" customFormat="false" ht="15" hidden="false" customHeight="false" outlineLevel="0" collapsed="false">
      <c r="A915" s="12"/>
      <c r="B915" s="8"/>
      <c r="C915" s="8"/>
      <c r="D915" s="8"/>
      <c r="E915" s="9"/>
      <c r="F915" s="13" t="str">
        <f aca="false">IF(A915="","",MONTH(A915))</f>
        <v/>
      </c>
    </row>
    <row r="916" customFormat="false" ht="15" hidden="false" customHeight="false" outlineLevel="0" collapsed="false">
      <c r="A916" s="12"/>
      <c r="B916" s="8"/>
      <c r="C916" s="8"/>
      <c r="D916" s="8"/>
      <c r="E916" s="9"/>
      <c r="F916" s="13" t="str">
        <f aca="false">IF(A916="","",MONTH(A916))</f>
        <v/>
      </c>
    </row>
    <row r="917" customFormat="false" ht="15" hidden="false" customHeight="false" outlineLevel="0" collapsed="false">
      <c r="A917" s="12"/>
      <c r="B917" s="8"/>
      <c r="C917" s="8"/>
      <c r="D917" s="8"/>
      <c r="E917" s="9"/>
      <c r="F917" s="13" t="str">
        <f aca="false">IF(A917="","",MONTH(A917))</f>
        <v/>
      </c>
    </row>
    <row r="918" customFormat="false" ht="15" hidden="false" customHeight="false" outlineLevel="0" collapsed="false">
      <c r="A918" s="12"/>
      <c r="B918" s="8"/>
      <c r="C918" s="8"/>
      <c r="D918" s="8"/>
      <c r="E918" s="9"/>
      <c r="F918" s="13" t="str">
        <f aca="false">IF(A918="","",MONTH(A918))</f>
        <v/>
      </c>
    </row>
    <row r="919" customFormat="false" ht="15" hidden="false" customHeight="false" outlineLevel="0" collapsed="false">
      <c r="A919" s="12"/>
      <c r="B919" s="8"/>
      <c r="C919" s="8"/>
      <c r="D919" s="8"/>
      <c r="E919" s="9"/>
      <c r="F919" s="13" t="str">
        <f aca="false">IF(A919="","",MONTH(A919))</f>
        <v/>
      </c>
    </row>
    <row r="920" customFormat="false" ht="15" hidden="false" customHeight="false" outlineLevel="0" collapsed="false">
      <c r="A920" s="12"/>
      <c r="B920" s="8"/>
      <c r="C920" s="8"/>
      <c r="D920" s="8"/>
      <c r="E920" s="9"/>
      <c r="F920" s="13" t="str">
        <f aca="false">IF(A920="","",MONTH(A920))</f>
        <v/>
      </c>
    </row>
    <row r="921" customFormat="false" ht="15" hidden="false" customHeight="false" outlineLevel="0" collapsed="false">
      <c r="A921" s="12"/>
      <c r="B921" s="8"/>
      <c r="C921" s="8"/>
      <c r="D921" s="8"/>
      <c r="E921" s="9"/>
      <c r="F921" s="13" t="str">
        <f aca="false">IF(A921="","",MONTH(A921))</f>
        <v/>
      </c>
    </row>
    <row r="922" customFormat="false" ht="15" hidden="false" customHeight="false" outlineLevel="0" collapsed="false">
      <c r="A922" s="12"/>
      <c r="B922" s="8"/>
      <c r="C922" s="8"/>
      <c r="D922" s="8"/>
      <c r="E922" s="9"/>
      <c r="F922" s="13" t="str">
        <f aca="false">IF(A922="","",MONTH(A922))</f>
        <v/>
      </c>
    </row>
    <row r="923" customFormat="false" ht="15" hidden="false" customHeight="false" outlineLevel="0" collapsed="false">
      <c r="A923" s="12"/>
      <c r="B923" s="8"/>
      <c r="C923" s="8"/>
      <c r="D923" s="8"/>
      <c r="E923" s="9"/>
      <c r="F923" s="13" t="str">
        <f aca="false">IF(A923="","",MONTH(A923))</f>
        <v/>
      </c>
    </row>
    <row r="924" customFormat="false" ht="15" hidden="false" customHeight="false" outlineLevel="0" collapsed="false">
      <c r="A924" s="12"/>
      <c r="B924" s="8"/>
      <c r="C924" s="8"/>
      <c r="D924" s="8"/>
      <c r="E924" s="9"/>
      <c r="F924" s="13" t="str">
        <f aca="false">IF(A924="","",MONTH(A924))</f>
        <v/>
      </c>
    </row>
    <row r="925" customFormat="false" ht="15" hidden="false" customHeight="false" outlineLevel="0" collapsed="false">
      <c r="A925" s="12"/>
      <c r="B925" s="8"/>
      <c r="C925" s="8"/>
      <c r="D925" s="8"/>
      <c r="E925" s="9"/>
      <c r="F925" s="13" t="str">
        <f aca="false">IF(A925="","",MONTH(A925))</f>
        <v/>
      </c>
    </row>
    <row r="926" customFormat="false" ht="15" hidden="false" customHeight="false" outlineLevel="0" collapsed="false">
      <c r="A926" s="12"/>
      <c r="B926" s="8"/>
      <c r="C926" s="8"/>
      <c r="D926" s="8"/>
      <c r="E926" s="9"/>
      <c r="F926" s="13" t="str">
        <f aca="false">IF(A926="","",MONTH(A926))</f>
        <v/>
      </c>
    </row>
    <row r="927" customFormat="false" ht="15" hidden="false" customHeight="false" outlineLevel="0" collapsed="false">
      <c r="A927" s="12"/>
      <c r="B927" s="8"/>
      <c r="C927" s="8"/>
      <c r="D927" s="8"/>
      <c r="E927" s="9"/>
      <c r="F927" s="13" t="str">
        <f aca="false">IF(A927="","",MONTH(A927))</f>
        <v/>
      </c>
    </row>
    <row r="928" customFormat="false" ht="15" hidden="false" customHeight="false" outlineLevel="0" collapsed="false">
      <c r="A928" s="12"/>
      <c r="B928" s="8"/>
      <c r="C928" s="8"/>
      <c r="D928" s="8"/>
      <c r="E928" s="9"/>
      <c r="F928" s="13" t="str">
        <f aca="false">IF(A928="","",MONTH(A928))</f>
        <v/>
      </c>
    </row>
    <row r="929" customFormat="false" ht="15" hidden="false" customHeight="false" outlineLevel="0" collapsed="false">
      <c r="A929" s="12"/>
      <c r="B929" s="8"/>
      <c r="C929" s="8"/>
      <c r="D929" s="8"/>
      <c r="E929" s="9"/>
      <c r="F929" s="13" t="str">
        <f aca="false">IF(A929="","",MONTH(A929))</f>
        <v/>
      </c>
    </row>
    <row r="930" customFormat="false" ht="15" hidden="false" customHeight="false" outlineLevel="0" collapsed="false">
      <c r="A930" s="12"/>
      <c r="B930" s="8"/>
      <c r="C930" s="8"/>
      <c r="D930" s="8"/>
      <c r="E930" s="9"/>
      <c r="F930" s="13" t="str">
        <f aca="false">IF(A930="","",MONTH(A930))</f>
        <v/>
      </c>
    </row>
    <row r="931" customFormat="false" ht="15" hidden="false" customHeight="false" outlineLevel="0" collapsed="false">
      <c r="A931" s="12"/>
      <c r="B931" s="8"/>
      <c r="C931" s="8"/>
      <c r="D931" s="8"/>
      <c r="E931" s="9"/>
      <c r="F931" s="13" t="str">
        <f aca="false">IF(A931="","",MONTH(A931))</f>
        <v/>
      </c>
    </row>
    <row r="932" customFormat="false" ht="15" hidden="false" customHeight="false" outlineLevel="0" collapsed="false">
      <c r="A932" s="12"/>
      <c r="B932" s="8"/>
      <c r="C932" s="8"/>
      <c r="D932" s="8"/>
      <c r="E932" s="9"/>
      <c r="F932" s="13" t="str">
        <f aca="false">IF(A932="","",MONTH(A932))</f>
        <v/>
      </c>
    </row>
    <row r="933" customFormat="false" ht="15" hidden="false" customHeight="false" outlineLevel="0" collapsed="false">
      <c r="A933" s="12"/>
      <c r="B933" s="8"/>
      <c r="C933" s="8"/>
      <c r="D933" s="8"/>
      <c r="E933" s="9"/>
      <c r="F933" s="13" t="str">
        <f aca="false">IF(A933="","",MONTH(A933))</f>
        <v/>
      </c>
    </row>
    <row r="934" customFormat="false" ht="15" hidden="false" customHeight="false" outlineLevel="0" collapsed="false">
      <c r="A934" s="12"/>
      <c r="B934" s="8"/>
      <c r="C934" s="8"/>
      <c r="D934" s="8"/>
      <c r="E934" s="9"/>
      <c r="F934" s="13" t="str">
        <f aca="false">IF(A934="","",MONTH(A934))</f>
        <v/>
      </c>
    </row>
    <row r="935" customFormat="false" ht="15" hidden="false" customHeight="false" outlineLevel="0" collapsed="false">
      <c r="A935" s="12"/>
      <c r="B935" s="8"/>
      <c r="C935" s="8"/>
      <c r="D935" s="8"/>
      <c r="E935" s="9"/>
      <c r="F935" s="13" t="str">
        <f aca="false">IF(A935="","",MONTH(A935))</f>
        <v/>
      </c>
    </row>
    <row r="936" customFormat="false" ht="15" hidden="false" customHeight="false" outlineLevel="0" collapsed="false">
      <c r="A936" s="12"/>
      <c r="B936" s="8"/>
      <c r="C936" s="8"/>
      <c r="D936" s="8"/>
      <c r="E936" s="9"/>
      <c r="F936" s="13" t="str">
        <f aca="false">IF(A936="","",MONTH(A936))</f>
        <v/>
      </c>
    </row>
    <row r="937" customFormat="false" ht="15" hidden="false" customHeight="false" outlineLevel="0" collapsed="false">
      <c r="A937" s="12"/>
      <c r="B937" s="8"/>
      <c r="C937" s="8"/>
      <c r="D937" s="8"/>
      <c r="E937" s="9"/>
      <c r="F937" s="13" t="str">
        <f aca="false">IF(A937="","",MONTH(A937))</f>
        <v/>
      </c>
    </row>
    <row r="938" customFormat="false" ht="15" hidden="false" customHeight="false" outlineLevel="0" collapsed="false">
      <c r="A938" s="12"/>
      <c r="B938" s="8"/>
      <c r="C938" s="8"/>
      <c r="D938" s="8"/>
      <c r="E938" s="9"/>
      <c r="F938" s="13" t="str">
        <f aca="false">IF(A938="","",MONTH(A938))</f>
        <v/>
      </c>
    </row>
    <row r="939" customFormat="false" ht="15" hidden="false" customHeight="false" outlineLevel="0" collapsed="false">
      <c r="A939" s="12"/>
      <c r="B939" s="8"/>
      <c r="C939" s="8"/>
      <c r="D939" s="8"/>
      <c r="E939" s="9"/>
      <c r="F939" s="13" t="str">
        <f aca="false">IF(A939="","",MONTH(A939))</f>
        <v/>
      </c>
    </row>
    <row r="940" customFormat="false" ht="15" hidden="false" customHeight="false" outlineLevel="0" collapsed="false">
      <c r="A940" s="12"/>
      <c r="B940" s="8"/>
      <c r="C940" s="8"/>
      <c r="D940" s="8"/>
      <c r="E940" s="9"/>
      <c r="F940" s="13" t="str">
        <f aca="false">IF(A940="","",MONTH(A940))</f>
        <v/>
      </c>
    </row>
    <row r="941" customFormat="false" ht="15" hidden="false" customHeight="false" outlineLevel="0" collapsed="false">
      <c r="A941" s="12"/>
      <c r="B941" s="8"/>
      <c r="C941" s="8"/>
      <c r="D941" s="8"/>
      <c r="E941" s="9"/>
      <c r="F941" s="13" t="str">
        <f aca="false">IF(A941="","",MONTH(A941))</f>
        <v/>
      </c>
    </row>
    <row r="942" customFormat="false" ht="15" hidden="false" customHeight="false" outlineLevel="0" collapsed="false">
      <c r="A942" s="12"/>
      <c r="B942" s="8"/>
      <c r="C942" s="8"/>
      <c r="D942" s="8"/>
      <c r="E942" s="9"/>
      <c r="F942" s="13" t="str">
        <f aca="false">IF(A942="","",MONTH(A942))</f>
        <v/>
      </c>
    </row>
    <row r="943" customFormat="false" ht="15" hidden="false" customHeight="false" outlineLevel="0" collapsed="false">
      <c r="A943" s="12"/>
      <c r="B943" s="8"/>
      <c r="C943" s="8"/>
      <c r="D943" s="8"/>
      <c r="E943" s="9"/>
      <c r="F943" s="13" t="str">
        <f aca="false">IF(A943="","",MONTH(A943))</f>
        <v/>
      </c>
    </row>
    <row r="944" customFormat="false" ht="15" hidden="false" customHeight="false" outlineLevel="0" collapsed="false">
      <c r="A944" s="12"/>
      <c r="B944" s="8"/>
      <c r="C944" s="8"/>
      <c r="D944" s="8"/>
      <c r="E944" s="9"/>
      <c r="F944" s="13" t="str">
        <f aca="false">IF(A944="","",MONTH(A944))</f>
        <v/>
      </c>
    </row>
    <row r="945" customFormat="false" ht="15" hidden="false" customHeight="false" outlineLevel="0" collapsed="false">
      <c r="A945" s="12"/>
      <c r="B945" s="8"/>
      <c r="C945" s="8"/>
      <c r="D945" s="8"/>
      <c r="E945" s="9"/>
      <c r="F945" s="13" t="str">
        <f aca="false">IF(A945="","",MONTH(A945))</f>
        <v/>
      </c>
    </row>
    <row r="946" customFormat="false" ht="15" hidden="false" customHeight="false" outlineLevel="0" collapsed="false">
      <c r="A946" s="12"/>
      <c r="B946" s="8"/>
      <c r="C946" s="8"/>
      <c r="D946" s="8"/>
      <c r="E946" s="9"/>
      <c r="F946" s="13" t="str">
        <f aca="false">IF(A946="","",MONTH(A946))</f>
        <v/>
      </c>
    </row>
    <row r="947" customFormat="false" ht="15" hidden="false" customHeight="false" outlineLevel="0" collapsed="false">
      <c r="A947" s="12"/>
      <c r="B947" s="8"/>
      <c r="C947" s="8"/>
      <c r="D947" s="8"/>
      <c r="E947" s="9"/>
      <c r="F947" s="13" t="str">
        <f aca="false">IF(A947="","",MONTH(A947))</f>
        <v/>
      </c>
    </row>
    <row r="948" customFormat="false" ht="15" hidden="false" customHeight="false" outlineLevel="0" collapsed="false">
      <c r="A948" s="12"/>
      <c r="B948" s="8"/>
      <c r="C948" s="8"/>
      <c r="D948" s="8"/>
      <c r="E948" s="9"/>
      <c r="F948" s="13" t="str">
        <f aca="false">IF(A948="","",MONTH(A948))</f>
        <v/>
      </c>
    </row>
    <row r="949" customFormat="false" ht="15" hidden="false" customHeight="false" outlineLevel="0" collapsed="false">
      <c r="A949" s="12"/>
      <c r="B949" s="8"/>
      <c r="C949" s="8"/>
      <c r="D949" s="8"/>
      <c r="E949" s="9"/>
      <c r="F949" s="13" t="str">
        <f aca="false">IF(A949="","",MONTH(A949))</f>
        <v/>
      </c>
    </row>
    <row r="950" customFormat="false" ht="15" hidden="false" customHeight="false" outlineLevel="0" collapsed="false">
      <c r="A950" s="12"/>
      <c r="B950" s="8"/>
      <c r="C950" s="8"/>
      <c r="D950" s="8"/>
      <c r="E950" s="9"/>
      <c r="F950" s="13" t="str">
        <f aca="false">IF(A950="","",MONTH(A950))</f>
        <v/>
      </c>
    </row>
    <row r="951" customFormat="false" ht="15" hidden="false" customHeight="false" outlineLevel="0" collapsed="false">
      <c r="A951" s="12"/>
      <c r="B951" s="8"/>
      <c r="C951" s="8"/>
      <c r="D951" s="8"/>
      <c r="E951" s="9"/>
      <c r="F951" s="13" t="str">
        <f aca="false">IF(A951="","",MONTH(A951))</f>
        <v/>
      </c>
    </row>
    <row r="952" customFormat="false" ht="15" hidden="false" customHeight="false" outlineLevel="0" collapsed="false">
      <c r="A952" s="12"/>
      <c r="B952" s="8"/>
      <c r="C952" s="8"/>
      <c r="D952" s="8"/>
      <c r="E952" s="9"/>
      <c r="F952" s="13" t="str">
        <f aca="false">IF(A952="","",MONTH(A952))</f>
        <v/>
      </c>
    </row>
    <row r="953" customFormat="false" ht="15" hidden="false" customHeight="false" outlineLevel="0" collapsed="false">
      <c r="A953" s="12"/>
      <c r="B953" s="8"/>
      <c r="C953" s="8"/>
      <c r="D953" s="8"/>
      <c r="E953" s="9"/>
      <c r="F953" s="13" t="str">
        <f aca="false">IF(A953="","",MONTH(A953))</f>
        <v/>
      </c>
    </row>
    <row r="954" customFormat="false" ht="15" hidden="false" customHeight="false" outlineLevel="0" collapsed="false">
      <c r="A954" s="12"/>
      <c r="B954" s="8"/>
      <c r="C954" s="8"/>
      <c r="D954" s="8"/>
      <c r="E954" s="9"/>
      <c r="F954" s="13" t="str">
        <f aca="false">IF(A954="","",MONTH(A954))</f>
        <v/>
      </c>
    </row>
    <row r="955" customFormat="false" ht="15" hidden="false" customHeight="false" outlineLevel="0" collapsed="false">
      <c r="A955" s="12"/>
      <c r="B955" s="8"/>
      <c r="C955" s="8"/>
      <c r="D955" s="8"/>
      <c r="E955" s="9"/>
      <c r="F955" s="13" t="str">
        <f aca="false">IF(A955="","",MONTH(A955))</f>
        <v/>
      </c>
    </row>
    <row r="956" customFormat="false" ht="15" hidden="false" customHeight="false" outlineLevel="0" collapsed="false">
      <c r="A956" s="12"/>
      <c r="B956" s="8"/>
      <c r="C956" s="8"/>
      <c r="D956" s="8"/>
      <c r="E956" s="9"/>
      <c r="F956" s="13" t="str">
        <f aca="false">IF(A956="","",MONTH(A956))</f>
        <v/>
      </c>
    </row>
    <row r="957" customFormat="false" ht="15" hidden="false" customHeight="false" outlineLevel="0" collapsed="false">
      <c r="A957" s="12"/>
      <c r="B957" s="8"/>
      <c r="C957" s="8"/>
      <c r="D957" s="8"/>
      <c r="E957" s="9"/>
      <c r="F957" s="13" t="str">
        <f aca="false">IF(A957="","",MONTH(A957))</f>
        <v/>
      </c>
    </row>
    <row r="958" customFormat="false" ht="15" hidden="false" customHeight="false" outlineLevel="0" collapsed="false">
      <c r="A958" s="12"/>
      <c r="B958" s="8"/>
      <c r="C958" s="8"/>
      <c r="D958" s="8"/>
      <c r="E958" s="9"/>
      <c r="F958" s="13" t="str">
        <f aca="false">IF(A958="","",MONTH(A958))</f>
        <v/>
      </c>
    </row>
    <row r="959" customFormat="false" ht="15" hidden="false" customHeight="false" outlineLevel="0" collapsed="false">
      <c r="A959" s="12"/>
      <c r="B959" s="8"/>
      <c r="C959" s="8"/>
      <c r="D959" s="8"/>
      <c r="E959" s="9"/>
      <c r="F959" s="13" t="str">
        <f aca="false">IF(A959="","",MONTH(A959))</f>
        <v/>
      </c>
    </row>
    <row r="960" customFormat="false" ht="15" hidden="false" customHeight="false" outlineLevel="0" collapsed="false">
      <c r="A960" s="12"/>
      <c r="B960" s="8"/>
      <c r="C960" s="8"/>
      <c r="D960" s="8"/>
      <c r="E960" s="9"/>
      <c r="F960" s="13" t="str">
        <f aca="false">IF(A960="","",MONTH(A960))</f>
        <v/>
      </c>
    </row>
    <row r="961" customFormat="false" ht="15" hidden="false" customHeight="false" outlineLevel="0" collapsed="false">
      <c r="A961" s="12"/>
      <c r="B961" s="8"/>
      <c r="C961" s="8"/>
      <c r="D961" s="8"/>
      <c r="E961" s="9"/>
      <c r="F961" s="13" t="str">
        <f aca="false">IF(A961="","",MONTH(A961))</f>
        <v/>
      </c>
    </row>
    <row r="962" customFormat="false" ht="15" hidden="false" customHeight="false" outlineLevel="0" collapsed="false">
      <c r="A962" s="12"/>
      <c r="B962" s="8"/>
      <c r="C962" s="8"/>
      <c r="D962" s="8"/>
      <c r="E962" s="9"/>
      <c r="F962" s="13" t="str">
        <f aca="false">IF(A962="","",MONTH(A962))</f>
        <v/>
      </c>
    </row>
    <row r="963" customFormat="false" ht="15" hidden="false" customHeight="false" outlineLevel="0" collapsed="false">
      <c r="A963" s="12"/>
      <c r="B963" s="8"/>
      <c r="C963" s="8"/>
      <c r="D963" s="8"/>
      <c r="E963" s="9"/>
      <c r="F963" s="13" t="str">
        <f aca="false">IF(A963="","",MONTH(A963))</f>
        <v/>
      </c>
    </row>
    <row r="964" customFormat="false" ht="15" hidden="false" customHeight="false" outlineLevel="0" collapsed="false">
      <c r="A964" s="12"/>
      <c r="B964" s="8"/>
      <c r="C964" s="8"/>
      <c r="D964" s="8"/>
      <c r="E964" s="9"/>
      <c r="F964" s="13" t="str">
        <f aca="false">IF(A964="","",MONTH(A964))</f>
        <v/>
      </c>
    </row>
    <row r="965" customFormat="false" ht="15" hidden="false" customHeight="false" outlineLevel="0" collapsed="false">
      <c r="A965" s="12"/>
      <c r="B965" s="8"/>
      <c r="C965" s="8"/>
      <c r="D965" s="8"/>
      <c r="E965" s="9"/>
      <c r="F965" s="13" t="str">
        <f aca="false">IF(A965="","",MONTH(A965))</f>
        <v/>
      </c>
    </row>
    <row r="966" customFormat="false" ht="15" hidden="false" customHeight="false" outlineLevel="0" collapsed="false">
      <c r="A966" s="12"/>
      <c r="B966" s="8"/>
      <c r="C966" s="8"/>
      <c r="D966" s="8"/>
      <c r="E966" s="9"/>
      <c r="F966" s="13" t="str">
        <f aca="false">IF(A966="","",MONTH(A966))</f>
        <v/>
      </c>
    </row>
    <row r="967" customFormat="false" ht="15" hidden="false" customHeight="false" outlineLevel="0" collapsed="false">
      <c r="A967" s="12"/>
      <c r="B967" s="8"/>
      <c r="C967" s="8"/>
      <c r="D967" s="8"/>
      <c r="E967" s="9"/>
      <c r="F967" s="13" t="str">
        <f aca="false">IF(A967="","",MONTH(A967))</f>
        <v/>
      </c>
    </row>
    <row r="968" customFormat="false" ht="15" hidden="false" customHeight="false" outlineLevel="0" collapsed="false">
      <c r="A968" s="12"/>
      <c r="B968" s="8"/>
      <c r="C968" s="8"/>
      <c r="D968" s="8"/>
      <c r="E968" s="9"/>
      <c r="F968" s="13" t="str">
        <f aca="false">IF(A968="","",MONTH(A968))</f>
        <v/>
      </c>
    </row>
    <row r="969" customFormat="false" ht="15" hidden="false" customHeight="false" outlineLevel="0" collapsed="false">
      <c r="A969" s="12"/>
      <c r="B969" s="8"/>
      <c r="C969" s="8"/>
      <c r="D969" s="8"/>
      <c r="E969" s="9"/>
      <c r="F969" s="13" t="str">
        <f aca="false">IF(A969="","",MONTH(A969))</f>
        <v/>
      </c>
    </row>
    <row r="970" customFormat="false" ht="15" hidden="false" customHeight="false" outlineLevel="0" collapsed="false">
      <c r="A970" s="12"/>
      <c r="B970" s="8"/>
      <c r="C970" s="8"/>
      <c r="D970" s="8"/>
      <c r="E970" s="9"/>
      <c r="F970" s="13" t="str">
        <f aca="false">IF(A970="","",MONTH(A970))</f>
        <v/>
      </c>
    </row>
    <row r="971" customFormat="false" ht="15" hidden="false" customHeight="false" outlineLevel="0" collapsed="false">
      <c r="A971" s="12"/>
      <c r="B971" s="8"/>
      <c r="C971" s="8"/>
      <c r="D971" s="8"/>
      <c r="E971" s="9"/>
      <c r="F971" s="13" t="str">
        <f aca="false">IF(A971="","",MONTH(A971))</f>
        <v/>
      </c>
    </row>
    <row r="972" customFormat="false" ht="15" hidden="false" customHeight="false" outlineLevel="0" collapsed="false">
      <c r="A972" s="12"/>
      <c r="B972" s="8"/>
      <c r="C972" s="8"/>
      <c r="D972" s="8"/>
      <c r="E972" s="9"/>
      <c r="F972" s="13" t="str">
        <f aca="false">IF(A972="","",MONTH(A972))</f>
        <v/>
      </c>
    </row>
    <row r="973" customFormat="false" ht="15" hidden="false" customHeight="false" outlineLevel="0" collapsed="false">
      <c r="A973" s="12"/>
      <c r="B973" s="8"/>
      <c r="C973" s="8"/>
      <c r="D973" s="8"/>
      <c r="E973" s="9"/>
      <c r="F973" s="13" t="str">
        <f aca="false">IF(A973="","",MONTH(A973))</f>
        <v/>
      </c>
    </row>
    <row r="974" customFormat="false" ht="15" hidden="false" customHeight="false" outlineLevel="0" collapsed="false">
      <c r="A974" s="12"/>
      <c r="B974" s="8"/>
      <c r="C974" s="8"/>
      <c r="D974" s="8"/>
      <c r="E974" s="9"/>
      <c r="F974" s="13" t="str">
        <f aca="false">IF(A974="","",MONTH(A974))</f>
        <v/>
      </c>
    </row>
    <row r="975" customFormat="false" ht="15" hidden="false" customHeight="false" outlineLevel="0" collapsed="false">
      <c r="A975" s="12"/>
      <c r="B975" s="8"/>
      <c r="C975" s="8"/>
      <c r="D975" s="8"/>
      <c r="E975" s="9"/>
      <c r="F975" s="13" t="str">
        <f aca="false">IF(A975="","",MONTH(A975))</f>
        <v/>
      </c>
    </row>
    <row r="976" customFormat="false" ht="15" hidden="false" customHeight="false" outlineLevel="0" collapsed="false">
      <c r="A976" s="12"/>
      <c r="B976" s="8"/>
      <c r="C976" s="8"/>
      <c r="D976" s="8"/>
      <c r="E976" s="9"/>
      <c r="F976" s="13" t="str">
        <f aca="false">IF(A976="","",MONTH(A976))</f>
        <v/>
      </c>
    </row>
    <row r="977" customFormat="false" ht="15" hidden="false" customHeight="false" outlineLevel="0" collapsed="false">
      <c r="A977" s="12"/>
      <c r="B977" s="8"/>
      <c r="C977" s="8"/>
      <c r="D977" s="8"/>
      <c r="E977" s="9"/>
      <c r="F977" s="13" t="str">
        <f aca="false">IF(A977="","",MONTH(A977))</f>
        <v/>
      </c>
    </row>
    <row r="978" customFormat="false" ht="15" hidden="false" customHeight="false" outlineLevel="0" collapsed="false">
      <c r="A978" s="12"/>
      <c r="B978" s="8"/>
      <c r="C978" s="8"/>
      <c r="D978" s="8"/>
      <c r="E978" s="9"/>
      <c r="F978" s="13" t="str">
        <f aca="false">IF(A978="","",MONTH(A978))</f>
        <v/>
      </c>
    </row>
    <row r="979" customFormat="false" ht="15" hidden="false" customHeight="false" outlineLevel="0" collapsed="false">
      <c r="A979" s="12"/>
      <c r="B979" s="8"/>
      <c r="C979" s="8"/>
      <c r="D979" s="8"/>
      <c r="E979" s="9"/>
      <c r="F979" s="13" t="str">
        <f aca="false">IF(A979="","",MONTH(A979))</f>
        <v/>
      </c>
    </row>
    <row r="980" customFormat="false" ht="15" hidden="false" customHeight="false" outlineLevel="0" collapsed="false">
      <c r="A980" s="12"/>
      <c r="B980" s="8"/>
      <c r="C980" s="8"/>
      <c r="D980" s="8"/>
      <c r="E980" s="9"/>
      <c r="F980" s="13" t="str">
        <f aca="false">IF(A980="","",MONTH(A980))</f>
        <v/>
      </c>
    </row>
    <row r="981" customFormat="false" ht="15" hidden="false" customHeight="false" outlineLevel="0" collapsed="false">
      <c r="A981" s="12"/>
      <c r="B981" s="8"/>
      <c r="C981" s="8"/>
      <c r="D981" s="8"/>
      <c r="E981" s="9"/>
      <c r="F981" s="13" t="str">
        <f aca="false">IF(A981="","",MONTH(A981))</f>
        <v/>
      </c>
    </row>
    <row r="982" customFormat="false" ht="15" hidden="false" customHeight="false" outlineLevel="0" collapsed="false">
      <c r="A982" s="12"/>
      <c r="B982" s="8"/>
      <c r="C982" s="8"/>
      <c r="D982" s="8"/>
      <c r="E982" s="9"/>
      <c r="F982" s="13" t="str">
        <f aca="false">IF(A982="","",MONTH(A982))</f>
        <v/>
      </c>
    </row>
    <row r="983" customFormat="false" ht="15" hidden="false" customHeight="false" outlineLevel="0" collapsed="false">
      <c r="A983" s="12"/>
      <c r="B983" s="8"/>
      <c r="C983" s="8"/>
      <c r="D983" s="8"/>
      <c r="E983" s="9"/>
      <c r="F983" s="13" t="str">
        <f aca="false">IF(A983="","",MONTH(A983))</f>
        <v/>
      </c>
    </row>
    <row r="984" customFormat="false" ht="15" hidden="false" customHeight="false" outlineLevel="0" collapsed="false">
      <c r="A984" s="12"/>
      <c r="B984" s="8"/>
      <c r="C984" s="8"/>
      <c r="D984" s="8"/>
      <c r="E984" s="9"/>
      <c r="F984" s="13" t="str">
        <f aca="false">IF(A984="","",MONTH(A984))</f>
        <v/>
      </c>
    </row>
    <row r="985" customFormat="false" ht="15" hidden="false" customHeight="false" outlineLevel="0" collapsed="false">
      <c r="A985" s="12"/>
      <c r="B985" s="8"/>
      <c r="C985" s="8"/>
      <c r="D985" s="8"/>
      <c r="E985" s="9"/>
      <c r="F985" s="13" t="str">
        <f aca="false">IF(A985="","",MONTH(A985))</f>
        <v/>
      </c>
    </row>
    <row r="986" customFormat="false" ht="15" hidden="false" customHeight="false" outlineLevel="0" collapsed="false">
      <c r="A986" s="12"/>
      <c r="B986" s="8"/>
      <c r="C986" s="8"/>
      <c r="D986" s="8"/>
      <c r="E986" s="9"/>
      <c r="F986" s="13" t="str">
        <f aca="false">IF(A986="","",MONTH(A986))</f>
        <v/>
      </c>
    </row>
    <row r="987" customFormat="false" ht="15" hidden="false" customHeight="false" outlineLevel="0" collapsed="false">
      <c r="A987" s="12"/>
      <c r="B987" s="8"/>
      <c r="C987" s="8"/>
      <c r="D987" s="8"/>
      <c r="E987" s="9"/>
      <c r="F987" s="13" t="str">
        <f aca="false">IF(A987="","",MONTH(A987))</f>
        <v/>
      </c>
    </row>
    <row r="988" customFormat="false" ht="15" hidden="false" customHeight="false" outlineLevel="0" collapsed="false">
      <c r="A988" s="12"/>
      <c r="B988" s="8"/>
      <c r="C988" s="8"/>
      <c r="D988" s="8"/>
      <c r="E988" s="9"/>
      <c r="F988" s="13" t="str">
        <f aca="false">IF(A988="","",MONTH(A988))</f>
        <v/>
      </c>
    </row>
    <row r="989" customFormat="false" ht="15" hidden="false" customHeight="false" outlineLevel="0" collapsed="false">
      <c r="A989" s="12"/>
      <c r="B989" s="8"/>
      <c r="C989" s="8"/>
      <c r="D989" s="8"/>
      <c r="E989" s="9"/>
      <c r="F989" s="13" t="str">
        <f aca="false">IF(A989="","",MONTH(A989))</f>
        <v/>
      </c>
    </row>
    <row r="990" customFormat="false" ht="15" hidden="false" customHeight="false" outlineLevel="0" collapsed="false">
      <c r="A990" s="12"/>
      <c r="B990" s="8"/>
      <c r="C990" s="8"/>
      <c r="D990" s="8"/>
      <c r="E990" s="9"/>
      <c r="F990" s="13" t="str">
        <f aca="false">IF(A990="","",MONTH(A990))</f>
        <v/>
      </c>
    </row>
    <row r="991" customFormat="false" ht="15" hidden="false" customHeight="false" outlineLevel="0" collapsed="false">
      <c r="A991" s="12"/>
      <c r="B991" s="8"/>
      <c r="C991" s="8"/>
      <c r="D991" s="8"/>
      <c r="E991" s="9"/>
      <c r="F991" s="13" t="str">
        <f aca="false">IF(A991="","",MONTH(A991))</f>
        <v/>
      </c>
    </row>
    <row r="992" customFormat="false" ht="15" hidden="false" customHeight="false" outlineLevel="0" collapsed="false">
      <c r="A992" s="12"/>
      <c r="B992" s="8"/>
      <c r="C992" s="8"/>
      <c r="D992" s="8"/>
      <c r="E992" s="9"/>
      <c r="F992" s="13" t="str">
        <f aca="false">IF(A992="","",MONTH(A992))</f>
        <v/>
      </c>
    </row>
    <row r="993" customFormat="false" ht="15" hidden="false" customHeight="false" outlineLevel="0" collapsed="false">
      <c r="A993" s="12"/>
      <c r="B993" s="8"/>
      <c r="C993" s="8"/>
      <c r="D993" s="8"/>
      <c r="E993" s="9"/>
      <c r="F993" s="13" t="str">
        <f aca="false">IF(A993="","",MONTH(A993))</f>
        <v/>
      </c>
    </row>
    <row r="994" customFormat="false" ht="15" hidden="false" customHeight="false" outlineLevel="0" collapsed="false">
      <c r="A994" s="12"/>
      <c r="B994" s="8"/>
      <c r="C994" s="8"/>
      <c r="D994" s="8"/>
      <c r="E994" s="9"/>
      <c r="F994" s="13" t="str">
        <f aca="false">IF(A994="","",MONTH(A994))</f>
        <v/>
      </c>
    </row>
    <row r="995" customFormat="false" ht="15" hidden="false" customHeight="false" outlineLevel="0" collapsed="false">
      <c r="A995" s="12"/>
      <c r="B995" s="8"/>
      <c r="C995" s="8"/>
      <c r="D995" s="8"/>
      <c r="E995" s="9"/>
      <c r="F995" s="13" t="str">
        <f aca="false">IF(A995="","",MONTH(A995))</f>
        <v/>
      </c>
    </row>
    <row r="996" customFormat="false" ht="15" hidden="false" customHeight="false" outlineLevel="0" collapsed="false">
      <c r="A996" s="12"/>
      <c r="B996" s="8"/>
      <c r="C996" s="8"/>
      <c r="D996" s="8"/>
      <c r="E996" s="9"/>
      <c r="F996" s="13" t="str">
        <f aca="false">IF(A996="","",MONTH(A996))</f>
        <v/>
      </c>
    </row>
    <row r="997" customFormat="false" ht="15" hidden="false" customHeight="false" outlineLevel="0" collapsed="false">
      <c r="A997" s="12"/>
      <c r="B997" s="8"/>
      <c r="C997" s="8"/>
      <c r="D997" s="8"/>
      <c r="E997" s="9"/>
      <c r="F997" s="13" t="str">
        <f aca="false">IF(A997="","",MONTH(A997))</f>
        <v/>
      </c>
    </row>
    <row r="998" customFormat="false" ht="15" hidden="false" customHeight="false" outlineLevel="0" collapsed="false">
      <c r="A998" s="12"/>
      <c r="B998" s="8"/>
      <c r="C998" s="8"/>
      <c r="D998" s="8"/>
      <c r="E998" s="9"/>
      <c r="F998" s="13" t="str">
        <f aca="false">IF(A998="","",MONTH(A998))</f>
        <v/>
      </c>
    </row>
    <row r="999" customFormat="false" ht="15" hidden="false" customHeight="false" outlineLevel="0" collapsed="false">
      <c r="A999" s="12"/>
      <c r="B999" s="8"/>
      <c r="C999" s="8"/>
      <c r="D999" s="8"/>
      <c r="E999" s="9"/>
      <c r="F999" s="13" t="str">
        <f aca="false">IF(A999="","",MONTH(A999))</f>
        <v/>
      </c>
    </row>
    <row r="1000" customFormat="false" ht="15" hidden="false" customHeight="false" outlineLevel="0" collapsed="false">
      <c r="A1000" s="12"/>
      <c r="B1000" s="8"/>
      <c r="C1000" s="8"/>
      <c r="D1000" s="8"/>
      <c r="E1000" s="9"/>
      <c r="F1000" s="13" t="str">
        <f aca="false">IF(A1000="","",MONTH(A1000))</f>
        <v/>
      </c>
    </row>
    <row r="1001" customFormat="false" ht="15" hidden="false" customHeight="false" outlineLevel="0" collapsed="false">
      <c r="A1001" s="12"/>
      <c r="B1001" s="8"/>
      <c r="C1001" s="8"/>
      <c r="D1001" s="8"/>
      <c r="E1001" s="9"/>
      <c r="F1001" s="13" t="str">
        <f aca="false">IF(A1001="","",MONTH(A1001))</f>
        <v/>
      </c>
    </row>
    <row r="1002" customFormat="false" ht="15" hidden="false" customHeight="false" outlineLevel="0" collapsed="false">
      <c r="A1002" s="12"/>
      <c r="B1002" s="8"/>
      <c r="C1002" s="8"/>
      <c r="D1002" s="8"/>
      <c r="E1002" s="9"/>
      <c r="F1002" s="13" t="str">
        <f aca="false">IF(A1002="","",MONTH(A1002))</f>
        <v/>
      </c>
    </row>
    <row r="1003" customFormat="false" ht="15" hidden="false" customHeight="false" outlineLevel="0" collapsed="false">
      <c r="A1003" s="12"/>
      <c r="B1003" s="8"/>
      <c r="C1003" s="8"/>
      <c r="D1003" s="8"/>
      <c r="E1003" s="9"/>
      <c r="F1003" s="13" t="str">
        <f aca="false">IF(A1003="","",MONTH(A1003))</f>
        <v/>
      </c>
    </row>
  </sheetData>
  <autoFilter ref="A3:F1003"/>
  <mergeCells count="2">
    <mergeCell ref="A1:F1"/>
    <mergeCell ref="A2:F2"/>
  </mergeCells>
  <conditionalFormatting sqref="E4:E1003">
    <cfRule type="expression" priority="2" aboveAverage="0" equalAverage="0" bottom="0" percent="0" rank="0" text="" dxfId="7">
      <formula>$B4="Income"</formula>
    </cfRule>
  </conditionalFormatting>
  <dataValidations count="3">
    <dataValidation allowBlank="true" errorStyle="stop" operator="between" showDropDown="false" showErrorMessage="false" showInputMessage="false" sqref="B4:B1003" type="list">
      <formula1>"Income,Expense"</formula1>
      <formula2>0</formula2>
    </dataValidation>
    <dataValidation allowBlank="true" errorStyle="stop" operator="between" showDropDown="false" showErrorMessage="false" showInputMessage="false" sqref="C4:C1003" type="list">
      <formula1>Settings!$A$8:$A$37</formula1>
      <formula2>0</formula2>
    </dataValidation>
    <dataValidation allowBlank="true" errorStyle="stop" operator="greaterThan" showDropDown="false" showErrorMessage="false" showInputMessage="false" sqref="A4:A1003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11" min="8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true" outlineLevel="0" max="26" min="26" style="0" width="13"/>
  </cols>
  <sheetData>
    <row r="1" customFormat="false" ht="42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B3" s="14" t="s">
        <v>59</v>
      </c>
      <c r="C3" s="15" t="s">
        <v>60</v>
      </c>
      <c r="D3" s="16" t="n">
        <f aca="false">MATCH(C3,$Z$40:$Z$51,0)</f>
        <v>1</v>
      </c>
    </row>
    <row r="5" customFormat="false" ht="15" hidden="false" customHeight="false" outlineLevel="0" collapsed="false">
      <c r="B5" s="17" t="s">
        <v>23</v>
      </c>
      <c r="C5" s="17"/>
      <c r="D5" s="17" t="s">
        <v>61</v>
      </c>
      <c r="E5" s="17"/>
      <c r="F5" s="17" t="s">
        <v>62</v>
      </c>
      <c r="G5" s="17"/>
      <c r="H5" s="17" t="s">
        <v>63</v>
      </c>
      <c r="I5" s="17"/>
    </row>
    <row r="6" customFormat="false" ht="36" hidden="false" customHeight="true" outlineLevel="0" collapsed="false">
      <c r="B6" s="18" t="n">
        <f aca="false">SUMIFS(Transactions!$E:$E,Transactions!$B:$B,"Income",Transactions!$F:$F,$D$3)</f>
        <v>3900</v>
      </c>
      <c r="C6" s="18"/>
      <c r="D6" s="18" t="n">
        <f aca="false">SUMIFS(Transactions!$E:$E,Transactions!$B:$B,"Expense",Transactions!$F:$F,$D$3)</f>
        <v>1862.09</v>
      </c>
      <c r="E6" s="18"/>
      <c r="F6" s="18" t="n">
        <f aca="false">B6-D6</f>
        <v>2037.91</v>
      </c>
      <c r="G6" s="18"/>
      <c r="H6" s="19" t="n">
        <f aca="false">IF(B6=0,0,F6/B6)</f>
        <v>0.522541025641026</v>
      </c>
      <c r="I6" s="19"/>
    </row>
    <row r="8" customFormat="false" ht="30" hidden="false" customHeight="true" outlineLevel="0" collapsed="false">
      <c r="B8" s="10" t="s">
        <v>17</v>
      </c>
      <c r="C8" s="10" t="s">
        <v>64</v>
      </c>
      <c r="D8" s="10" t="s">
        <v>65</v>
      </c>
      <c r="E8" s="10" t="s">
        <v>66</v>
      </c>
      <c r="F8" s="10" t="s">
        <v>67</v>
      </c>
      <c r="H8" s="10" t="s">
        <v>47</v>
      </c>
      <c r="I8" s="10" t="s">
        <v>23</v>
      </c>
      <c r="J8" s="10" t="s">
        <v>61</v>
      </c>
      <c r="K8" s="10" t="s">
        <v>68</v>
      </c>
      <c r="L8" s="10" t="s">
        <v>63</v>
      </c>
      <c r="M8" s="10" t="s">
        <v>69</v>
      </c>
    </row>
    <row r="9" customFormat="false" ht="15" hidden="false" customHeight="false" outlineLevel="0" collapsed="false">
      <c r="B9" s="13" t="str">
        <f aca="false">IF(Settings!$B11="Expense",Settings!$A11,"")</f>
        <v>Rent / Mortgage</v>
      </c>
      <c r="C9" s="11" t="n">
        <f aca="false">IF(B9="","",Settings!$C11)</f>
        <v>1200</v>
      </c>
      <c r="D9" s="11" t="n">
        <f aca="false">IF(B9="","",SUMIFS(Transactions!$E:$E,Transactions!$C:$C,B9,Transactions!$B:$B,"Expense",Transactions!$F:$F,$D$3))</f>
        <v>1200</v>
      </c>
      <c r="E9" s="11" t="n">
        <f aca="false">IF(B9="","",C9-D9)</f>
        <v>0</v>
      </c>
      <c r="F9" s="20" t="str">
        <f aca="false">IF(B9="","",IF(D9&gt;C9,"✗ Over budget","✓ On track"))</f>
        <v>✓ On track</v>
      </c>
      <c r="H9" s="21" t="s">
        <v>60</v>
      </c>
      <c r="I9" s="11" t="n">
        <f aca="false">SUMIFS(Transactions!$E:$E,Transactions!$B:$B,"Income",Transactions!$F:$F,1)</f>
        <v>3900</v>
      </c>
      <c r="J9" s="11" t="n">
        <f aca="false">SUMIFS(Transactions!$E:$E,Transactions!$B:$B,"Expense",Transactions!$F:$F,1)</f>
        <v>1862.09</v>
      </c>
      <c r="K9" s="11" t="n">
        <f aca="false">I9-J9</f>
        <v>2037.91</v>
      </c>
      <c r="L9" s="22" t="n">
        <f aca="false">IF(I9=0,0,K9/I9)</f>
        <v>0.522541025641026</v>
      </c>
      <c r="M9" s="11" t="n">
        <f aca="false">Settings!$B$5+K9</f>
        <v>3037.91</v>
      </c>
    </row>
    <row r="10" customFormat="false" ht="15" hidden="false" customHeight="false" outlineLevel="0" collapsed="false">
      <c r="B10" s="13" t="str">
        <f aca="false">IF(Settings!$B12="Expense",Settings!$A12,"")</f>
        <v>Groceries</v>
      </c>
      <c r="C10" s="11" t="n">
        <f aca="false">IF(B10="","",Settings!$C12)</f>
        <v>450</v>
      </c>
      <c r="D10" s="11" t="n">
        <f aca="false">IF(B10="","",SUMIFS(Transactions!$E:$E,Transactions!$C:$C,B10,Transactions!$B:$B,"Expense",Transactions!$F:$F,$D$3))</f>
        <v>184.6</v>
      </c>
      <c r="E10" s="11" t="n">
        <f aca="false">IF(B10="","",C10-D10)</f>
        <v>265.4</v>
      </c>
      <c r="F10" s="20" t="str">
        <f aca="false">IF(B10="","",IF(D10&gt;C10,"✗ Over budget","✓ On track"))</f>
        <v>✓ On track</v>
      </c>
      <c r="H10" s="21" t="s">
        <v>70</v>
      </c>
      <c r="I10" s="11" t="n">
        <f aca="false">SUMIFS(Transactions!$E:$E,Transactions!$B:$B,"Income",Transactions!$F:$F,2)</f>
        <v>0</v>
      </c>
      <c r="J10" s="11" t="n">
        <f aca="false">SUMIFS(Transactions!$E:$E,Transactions!$B:$B,"Expense",Transactions!$F:$F,2)</f>
        <v>0</v>
      </c>
      <c r="K10" s="11" t="n">
        <f aca="false">I10-J10</f>
        <v>0</v>
      </c>
      <c r="L10" s="22" t="n">
        <f aca="false">IF(I10=0,0,K10/I10)</f>
        <v>0</v>
      </c>
      <c r="M10" s="11" t="n">
        <f aca="false">M9+K10</f>
        <v>3037.91</v>
      </c>
    </row>
    <row r="11" customFormat="false" ht="15" hidden="false" customHeight="false" outlineLevel="0" collapsed="false">
      <c r="B11" s="13" t="str">
        <f aca="false">IF(Settings!$B13="Expense",Settings!$A13,"")</f>
        <v>Utilities</v>
      </c>
      <c r="C11" s="11" t="n">
        <f aca="false">IF(B11="","",Settings!$C13)</f>
        <v>180</v>
      </c>
      <c r="D11" s="11" t="n">
        <f aca="false">IF(B11="","",SUMIFS(Transactions!$E:$E,Transactions!$C:$C,B11,Transactions!$B:$B,"Expense",Transactions!$F:$F,$D$3))</f>
        <v>74</v>
      </c>
      <c r="E11" s="11" t="n">
        <f aca="false">IF(B11="","",C11-D11)</f>
        <v>106</v>
      </c>
      <c r="F11" s="20" t="str">
        <f aca="false">IF(B11="","",IF(D11&gt;C11,"✗ Over budget","✓ On track"))</f>
        <v>✓ On track</v>
      </c>
      <c r="H11" s="21" t="s">
        <v>71</v>
      </c>
      <c r="I11" s="11" t="n">
        <f aca="false">SUMIFS(Transactions!$E:$E,Transactions!$B:$B,"Income",Transactions!$F:$F,3)</f>
        <v>0</v>
      </c>
      <c r="J11" s="11" t="n">
        <f aca="false">SUMIFS(Transactions!$E:$E,Transactions!$B:$B,"Expense",Transactions!$F:$F,3)</f>
        <v>0</v>
      </c>
      <c r="K11" s="11" t="n">
        <f aca="false">I11-J11</f>
        <v>0</v>
      </c>
      <c r="L11" s="22" t="n">
        <f aca="false">IF(I11=0,0,K11/I11)</f>
        <v>0</v>
      </c>
      <c r="M11" s="11" t="n">
        <f aca="false">M10+K11</f>
        <v>3037.91</v>
      </c>
    </row>
    <row r="12" customFormat="false" ht="15" hidden="false" customHeight="false" outlineLevel="0" collapsed="false">
      <c r="B12" s="13" t="str">
        <f aca="false">IF(Settings!$B14="Expense",Settings!$A14,"")</f>
        <v>Transport</v>
      </c>
      <c r="C12" s="11" t="n">
        <f aca="false">IF(B12="","",Settings!$C14)</f>
        <v>200</v>
      </c>
      <c r="D12" s="11" t="n">
        <f aca="false">IF(B12="","",SUMIFS(Transactions!$E:$E,Transactions!$C:$C,B12,Transactions!$B:$B,"Expense",Transactions!$F:$F,$D$3))</f>
        <v>55</v>
      </c>
      <c r="E12" s="11" t="n">
        <f aca="false">IF(B12="","",C12-D12)</f>
        <v>145</v>
      </c>
      <c r="F12" s="20" t="str">
        <f aca="false">IF(B12="","",IF(D12&gt;C12,"✗ Over budget","✓ On track"))</f>
        <v>✓ On track</v>
      </c>
      <c r="H12" s="21" t="s">
        <v>72</v>
      </c>
      <c r="I12" s="11" t="n">
        <f aca="false">SUMIFS(Transactions!$E:$E,Transactions!$B:$B,"Income",Transactions!$F:$F,4)</f>
        <v>0</v>
      </c>
      <c r="J12" s="11" t="n">
        <f aca="false">SUMIFS(Transactions!$E:$E,Transactions!$B:$B,"Expense",Transactions!$F:$F,4)</f>
        <v>0</v>
      </c>
      <c r="K12" s="11" t="n">
        <f aca="false">I12-J12</f>
        <v>0</v>
      </c>
      <c r="L12" s="22" t="n">
        <f aca="false">IF(I12=0,0,K12/I12)</f>
        <v>0</v>
      </c>
      <c r="M12" s="11" t="n">
        <f aca="false">M11+K12</f>
        <v>3037.91</v>
      </c>
    </row>
    <row r="13" customFormat="false" ht="15" hidden="false" customHeight="false" outlineLevel="0" collapsed="false">
      <c r="B13" s="13" t="str">
        <f aca="false">IF(Settings!$B15="Expense",Settings!$A15,"")</f>
        <v>Phone &amp; Internet</v>
      </c>
      <c r="C13" s="11" t="n">
        <f aca="false">IF(B13="","",Settings!$C15)</f>
        <v>80</v>
      </c>
      <c r="D13" s="11" t="n">
        <f aca="false">IF(B13="","",SUMIFS(Transactions!$E:$E,Transactions!$C:$C,B13,Transactions!$B:$B,"Expense",Transactions!$F:$F,$D$3))</f>
        <v>0</v>
      </c>
      <c r="E13" s="11" t="n">
        <f aca="false">IF(B13="","",C13-D13)</f>
        <v>80</v>
      </c>
      <c r="F13" s="20" t="str">
        <f aca="false">IF(B13="","",IF(D13&gt;C13,"✗ Over budget","✓ On track"))</f>
        <v>✓ On track</v>
      </c>
      <c r="H13" s="21" t="s">
        <v>73</v>
      </c>
      <c r="I13" s="11" t="n">
        <f aca="false">SUMIFS(Transactions!$E:$E,Transactions!$B:$B,"Income",Transactions!$F:$F,5)</f>
        <v>0</v>
      </c>
      <c r="J13" s="11" t="n">
        <f aca="false">SUMIFS(Transactions!$E:$E,Transactions!$B:$B,"Expense",Transactions!$F:$F,5)</f>
        <v>0</v>
      </c>
      <c r="K13" s="11" t="n">
        <f aca="false">I13-J13</f>
        <v>0</v>
      </c>
      <c r="L13" s="22" t="n">
        <f aca="false">IF(I13=0,0,K13/I13)</f>
        <v>0</v>
      </c>
      <c r="M13" s="11" t="n">
        <f aca="false">M12+K13</f>
        <v>3037.91</v>
      </c>
    </row>
    <row r="14" customFormat="false" ht="15" hidden="false" customHeight="false" outlineLevel="0" collapsed="false">
      <c r="B14" s="13" t="str">
        <f aca="false">IF(Settings!$B16="Expense",Settings!$A16,"")</f>
        <v>Eating Out</v>
      </c>
      <c r="C14" s="11" t="n">
        <f aca="false">IF(B14="","",Settings!$C16)</f>
        <v>150</v>
      </c>
      <c r="D14" s="11" t="n">
        <f aca="false">IF(B14="","",SUMIFS(Transactions!$E:$E,Transactions!$C:$C,B14,Transactions!$B:$B,"Expense",Transactions!$F:$F,$D$3))</f>
        <v>32.5</v>
      </c>
      <c r="E14" s="11" t="n">
        <f aca="false">IF(B14="","",C14-D14)</f>
        <v>117.5</v>
      </c>
      <c r="F14" s="20" t="str">
        <f aca="false">IF(B14="","",IF(D14&gt;C14,"✗ Over budget","✓ On track"))</f>
        <v>✓ On track</v>
      </c>
      <c r="H14" s="21" t="s">
        <v>74</v>
      </c>
      <c r="I14" s="11" t="n">
        <f aca="false">SUMIFS(Transactions!$E:$E,Transactions!$B:$B,"Income",Transactions!$F:$F,6)</f>
        <v>0</v>
      </c>
      <c r="J14" s="11" t="n">
        <f aca="false">SUMIFS(Transactions!$E:$E,Transactions!$B:$B,"Expense",Transactions!$F:$F,6)</f>
        <v>0</v>
      </c>
      <c r="K14" s="11" t="n">
        <f aca="false">I14-J14</f>
        <v>0</v>
      </c>
      <c r="L14" s="22" t="n">
        <f aca="false">IF(I14=0,0,K14/I14)</f>
        <v>0</v>
      </c>
      <c r="M14" s="11" t="n">
        <f aca="false">M13+K14</f>
        <v>3037.91</v>
      </c>
    </row>
    <row r="15" customFormat="false" ht="15" hidden="false" customHeight="false" outlineLevel="0" collapsed="false">
      <c r="B15" s="13" t="str">
        <f aca="false">IF(Settings!$B17="Expense",Settings!$A17,"")</f>
        <v>Shopping</v>
      </c>
      <c r="C15" s="11" t="n">
        <f aca="false">IF(B15="","",Settings!$C17)</f>
        <v>120</v>
      </c>
      <c r="D15" s="11" t="n">
        <f aca="false">IF(B15="","",SUMIFS(Transactions!$E:$E,Transactions!$C:$C,B15,Transactions!$B:$B,"Expense",Transactions!$F:$F,$D$3))</f>
        <v>0</v>
      </c>
      <c r="E15" s="11" t="n">
        <f aca="false">IF(B15="","",C15-D15)</f>
        <v>120</v>
      </c>
      <c r="F15" s="20" t="str">
        <f aca="false">IF(B15="","",IF(D15&gt;C15,"✗ Over budget","✓ On track"))</f>
        <v>✓ On track</v>
      </c>
      <c r="H15" s="21" t="s">
        <v>75</v>
      </c>
      <c r="I15" s="11" t="n">
        <f aca="false">SUMIFS(Transactions!$E:$E,Transactions!$B:$B,"Income",Transactions!$F:$F,7)</f>
        <v>0</v>
      </c>
      <c r="J15" s="11" t="n">
        <f aca="false">SUMIFS(Transactions!$E:$E,Transactions!$B:$B,"Expense",Transactions!$F:$F,7)</f>
        <v>0</v>
      </c>
      <c r="K15" s="11" t="n">
        <f aca="false">I15-J15</f>
        <v>0</v>
      </c>
      <c r="L15" s="22" t="n">
        <f aca="false">IF(I15=0,0,K15/I15)</f>
        <v>0</v>
      </c>
      <c r="M15" s="11" t="n">
        <f aca="false">M14+K15</f>
        <v>3037.91</v>
      </c>
    </row>
    <row r="16" customFormat="false" ht="15" hidden="false" customHeight="false" outlineLevel="0" collapsed="false">
      <c r="B16" s="13" t="str">
        <f aca="false">IF(Settings!$B18="Expense",Settings!$A18,"")</f>
        <v>Health</v>
      </c>
      <c r="C16" s="11" t="n">
        <f aca="false">IF(B16="","",Settings!$C18)</f>
        <v>60</v>
      </c>
      <c r="D16" s="11" t="n">
        <f aca="false">IF(B16="","",SUMIFS(Transactions!$E:$E,Transactions!$C:$C,B16,Transactions!$B:$B,"Expense",Transactions!$F:$F,$D$3))</f>
        <v>0</v>
      </c>
      <c r="E16" s="11" t="n">
        <f aca="false">IF(B16="","",C16-D16)</f>
        <v>60</v>
      </c>
      <c r="F16" s="20" t="str">
        <f aca="false">IF(B16="","",IF(D16&gt;C16,"✗ Over budget","✓ On track"))</f>
        <v>✓ On track</v>
      </c>
      <c r="H16" s="21" t="s">
        <v>76</v>
      </c>
      <c r="I16" s="11" t="n">
        <f aca="false">SUMIFS(Transactions!$E:$E,Transactions!$B:$B,"Income",Transactions!$F:$F,8)</f>
        <v>0</v>
      </c>
      <c r="J16" s="11" t="n">
        <f aca="false">SUMIFS(Transactions!$E:$E,Transactions!$B:$B,"Expense",Transactions!$F:$F,8)</f>
        <v>0</v>
      </c>
      <c r="K16" s="11" t="n">
        <f aca="false">I16-J16</f>
        <v>0</v>
      </c>
      <c r="L16" s="22" t="n">
        <f aca="false">IF(I16=0,0,K16/I16)</f>
        <v>0</v>
      </c>
      <c r="M16" s="11" t="n">
        <f aca="false">M15+K16</f>
        <v>3037.91</v>
      </c>
    </row>
    <row r="17" customFormat="false" ht="15" hidden="false" customHeight="false" outlineLevel="0" collapsed="false">
      <c r="B17" s="13" t="str">
        <f aca="false">IF(Settings!$B19="Expense",Settings!$A19,"")</f>
        <v>Kids / Family</v>
      </c>
      <c r="C17" s="11" t="n">
        <f aca="false">IF(B17="","",Settings!$C19)</f>
        <v>150</v>
      </c>
      <c r="D17" s="11" t="n">
        <f aca="false">IF(B17="","",SUMIFS(Transactions!$E:$E,Transactions!$C:$C,B17,Transactions!$B:$B,"Expense",Transactions!$F:$F,$D$3))</f>
        <v>0</v>
      </c>
      <c r="E17" s="11" t="n">
        <f aca="false">IF(B17="","",C17-D17)</f>
        <v>150</v>
      </c>
      <c r="F17" s="20" t="str">
        <f aca="false">IF(B17="","",IF(D17&gt;C17,"✗ Over budget","✓ On track"))</f>
        <v>✓ On track</v>
      </c>
      <c r="H17" s="21" t="s">
        <v>77</v>
      </c>
      <c r="I17" s="11" t="n">
        <f aca="false">SUMIFS(Transactions!$E:$E,Transactions!$B:$B,"Income",Transactions!$F:$F,9)</f>
        <v>0</v>
      </c>
      <c r="J17" s="11" t="n">
        <f aca="false">SUMIFS(Transactions!$E:$E,Transactions!$B:$B,"Expense",Transactions!$F:$F,9)</f>
        <v>0</v>
      </c>
      <c r="K17" s="11" t="n">
        <f aca="false">I17-J17</f>
        <v>0</v>
      </c>
      <c r="L17" s="22" t="n">
        <f aca="false">IF(I17=0,0,K17/I17)</f>
        <v>0</v>
      </c>
      <c r="M17" s="11" t="n">
        <f aca="false">M16+K17</f>
        <v>3037.91</v>
      </c>
    </row>
    <row r="18" customFormat="false" ht="15" hidden="false" customHeight="false" outlineLevel="0" collapsed="false">
      <c r="B18" s="13" t="str">
        <f aca="false">IF(Settings!$B20="Expense",Settings!$A20,"")</f>
        <v>Subscriptions</v>
      </c>
      <c r="C18" s="11" t="n">
        <f aca="false">IF(B18="","",Settings!$C20)</f>
        <v>40</v>
      </c>
      <c r="D18" s="11" t="n">
        <f aca="false">IF(B18="","",SUMIFS(Transactions!$E:$E,Transactions!$C:$C,B18,Transactions!$B:$B,"Expense",Transactions!$F:$F,$D$3))</f>
        <v>15.99</v>
      </c>
      <c r="E18" s="11" t="n">
        <f aca="false">IF(B18="","",C18-D18)</f>
        <v>24.01</v>
      </c>
      <c r="F18" s="20" t="str">
        <f aca="false">IF(B18="","",IF(D18&gt;C18,"✗ Over budget","✓ On track"))</f>
        <v>✓ On track</v>
      </c>
      <c r="H18" s="21" t="s">
        <v>78</v>
      </c>
      <c r="I18" s="11" t="n">
        <f aca="false">SUMIFS(Transactions!$E:$E,Transactions!$B:$B,"Income",Transactions!$F:$F,10)</f>
        <v>0</v>
      </c>
      <c r="J18" s="11" t="n">
        <f aca="false">SUMIFS(Transactions!$E:$E,Transactions!$B:$B,"Expense",Transactions!$F:$F,10)</f>
        <v>0</v>
      </c>
      <c r="K18" s="11" t="n">
        <f aca="false">I18-J18</f>
        <v>0</v>
      </c>
      <c r="L18" s="22" t="n">
        <f aca="false">IF(I18=0,0,K18/I18)</f>
        <v>0</v>
      </c>
      <c r="M18" s="11" t="n">
        <f aca="false">M17+K18</f>
        <v>3037.91</v>
      </c>
    </row>
    <row r="19" customFormat="false" ht="15" hidden="false" customHeight="false" outlineLevel="0" collapsed="false">
      <c r="B19" s="13" t="str">
        <f aca="false">IF(Settings!$B21="Expense",Settings!$A21,"")</f>
        <v>Education</v>
      </c>
      <c r="C19" s="11" t="n">
        <f aca="false">IF(B19="","",Settings!$C21)</f>
        <v>50</v>
      </c>
      <c r="D19" s="11" t="n">
        <f aca="false">IF(B19="","",SUMIFS(Transactions!$E:$E,Transactions!$C:$C,B19,Transactions!$B:$B,"Expense",Transactions!$F:$F,$D$3))</f>
        <v>0</v>
      </c>
      <c r="E19" s="11" t="n">
        <f aca="false">IF(B19="","",C19-D19)</f>
        <v>50</v>
      </c>
      <c r="F19" s="20" t="str">
        <f aca="false">IF(B19="","",IF(D19&gt;C19,"✗ Over budget","✓ On track"))</f>
        <v>✓ On track</v>
      </c>
      <c r="H19" s="21" t="s">
        <v>79</v>
      </c>
      <c r="I19" s="11" t="n">
        <f aca="false">SUMIFS(Transactions!$E:$E,Transactions!$B:$B,"Income",Transactions!$F:$F,11)</f>
        <v>0</v>
      </c>
      <c r="J19" s="11" t="n">
        <f aca="false">SUMIFS(Transactions!$E:$E,Transactions!$B:$B,"Expense",Transactions!$F:$F,11)</f>
        <v>0</v>
      </c>
      <c r="K19" s="11" t="n">
        <f aca="false">I19-J19</f>
        <v>0</v>
      </c>
      <c r="L19" s="22" t="n">
        <f aca="false">IF(I19=0,0,K19/I19)</f>
        <v>0</v>
      </c>
      <c r="M19" s="11" t="n">
        <f aca="false">M18+K19</f>
        <v>3037.91</v>
      </c>
    </row>
    <row r="20" customFormat="false" ht="15" hidden="false" customHeight="false" outlineLevel="0" collapsed="false">
      <c r="B20" s="13" t="str">
        <f aca="false">IF(Settings!$B22="Expense",Settings!$A22,"")</f>
        <v>Charity / Zakat</v>
      </c>
      <c r="C20" s="11" t="n">
        <f aca="false">IF(B20="","",Settings!$C22)</f>
        <v>50</v>
      </c>
      <c r="D20" s="11" t="n">
        <f aca="false">IF(B20="","",SUMIFS(Transactions!$E:$E,Transactions!$C:$C,B20,Transactions!$B:$B,"Expense",Transactions!$F:$F,$D$3))</f>
        <v>0</v>
      </c>
      <c r="E20" s="11" t="n">
        <f aca="false">IF(B20="","",C20-D20)</f>
        <v>50</v>
      </c>
      <c r="F20" s="20" t="str">
        <f aca="false">IF(B20="","",IF(D20&gt;C20,"✗ Over budget","✓ On track"))</f>
        <v>✓ On track</v>
      </c>
      <c r="H20" s="21" t="s">
        <v>80</v>
      </c>
      <c r="I20" s="11" t="n">
        <f aca="false">SUMIFS(Transactions!$E:$E,Transactions!$B:$B,"Income",Transactions!$F:$F,12)</f>
        <v>0</v>
      </c>
      <c r="J20" s="11" t="n">
        <f aca="false">SUMIFS(Transactions!$E:$E,Transactions!$B:$B,"Expense",Transactions!$F:$F,12)</f>
        <v>0</v>
      </c>
      <c r="K20" s="11" t="n">
        <f aca="false">I20-J20</f>
        <v>0</v>
      </c>
      <c r="L20" s="22" t="n">
        <f aca="false">IF(I20=0,0,K20/I20)</f>
        <v>0</v>
      </c>
      <c r="M20" s="11" t="n">
        <f aca="false">M19+K20</f>
        <v>3037.91</v>
      </c>
    </row>
    <row r="21" customFormat="false" ht="15" hidden="false" customHeight="false" outlineLevel="0" collapsed="false">
      <c r="B21" s="13" t="str">
        <f aca="false">IF(Settings!$B23="Expense",Settings!$A23,"")</f>
        <v>Entertainment</v>
      </c>
      <c r="C21" s="11" t="n">
        <f aca="false">IF(B21="","",Settings!$C23)</f>
        <v>60</v>
      </c>
      <c r="D21" s="11" t="n">
        <f aca="false">IF(B21="","",SUMIFS(Transactions!$E:$E,Transactions!$C:$C,B21,Transactions!$B:$B,"Expense",Transactions!$F:$F,$D$3))</f>
        <v>0</v>
      </c>
      <c r="E21" s="11" t="n">
        <f aca="false">IF(B21="","",C21-D21)</f>
        <v>60</v>
      </c>
      <c r="F21" s="20" t="str">
        <f aca="false">IF(B21="","",IF(D21&gt;C21,"✗ Over budget","✓ On track"))</f>
        <v>✓ On track</v>
      </c>
      <c r="H21" s="7" t="s">
        <v>81</v>
      </c>
      <c r="I21" s="23" t="n">
        <f aca="false">SUM(I9:I20)</f>
        <v>3900</v>
      </c>
      <c r="J21" s="23" t="n">
        <f aca="false">SUM(J9:J20)</f>
        <v>1862.09</v>
      </c>
      <c r="K21" s="23" t="n">
        <f aca="false">SUM(K9:K20)</f>
        <v>2037.91</v>
      </c>
      <c r="L21" s="24" t="n">
        <f aca="false">IF(I21=0,0,K21/I21)</f>
        <v>0.522541025641026</v>
      </c>
    </row>
    <row r="22" customFormat="false" ht="15" hidden="false" customHeight="false" outlineLevel="0" collapsed="false">
      <c r="B22" s="13" t="str">
        <f aca="false">IF(Settings!$B24="Expense",Settings!$A24,"")</f>
        <v>Savings Transfer</v>
      </c>
      <c r="C22" s="11" t="n">
        <f aca="false">IF(B22="","",Settings!$C24)</f>
        <v>300</v>
      </c>
      <c r="D22" s="11" t="n">
        <f aca="false">IF(B22="","",SUMIFS(Transactions!$E:$E,Transactions!$C:$C,B22,Transactions!$B:$B,"Expense",Transactions!$F:$F,$D$3))</f>
        <v>300</v>
      </c>
      <c r="E22" s="11" t="n">
        <f aca="false">IF(B22="","",C22-D22)</f>
        <v>0</v>
      </c>
      <c r="F22" s="20" t="str">
        <f aca="false">IF(B22="","",IF(D22&gt;C22,"✗ Over budget","✓ On track"))</f>
        <v>✓ On track</v>
      </c>
    </row>
    <row r="23" customFormat="false" ht="15" hidden="false" customHeight="false" outlineLevel="0" collapsed="false">
      <c r="B23" s="13" t="str">
        <f aca="false">IF(Settings!$B25="Expense",Settings!$A25,"")</f>
        <v>Debt Payments</v>
      </c>
      <c r="C23" s="11" t="n">
        <f aca="false">IF(B23="","",Settings!$C25)</f>
        <v>200</v>
      </c>
      <c r="D23" s="11" t="n">
        <f aca="false">IF(B23="","",SUMIFS(Transactions!$E:$E,Transactions!$C:$C,B23,Transactions!$B:$B,"Expense",Transactions!$F:$F,$D$3))</f>
        <v>0</v>
      </c>
      <c r="E23" s="11" t="n">
        <f aca="false">IF(B23="","",C23-D23)</f>
        <v>200</v>
      </c>
      <c r="F23" s="20" t="str">
        <f aca="false">IF(B23="","",IF(D23&gt;C23,"✗ Over budget","✓ On track"))</f>
        <v>✓ On track</v>
      </c>
    </row>
    <row r="24" customFormat="false" ht="15" hidden="false" customHeight="false" outlineLevel="0" collapsed="false">
      <c r="B24" s="13" t="str">
        <f aca="false">IF(Settings!$B26="Expense",Settings!$A26,"")</f>
        <v>Miscellaneous</v>
      </c>
      <c r="C24" s="11" t="n">
        <f aca="false">IF(B24="","",Settings!$C26)</f>
        <v>50</v>
      </c>
      <c r="D24" s="11" t="n">
        <f aca="false">IF(B24="","",SUMIFS(Transactions!$E:$E,Transactions!$C:$C,B24,Transactions!$B:$B,"Expense",Transactions!$F:$F,$D$3))</f>
        <v>0</v>
      </c>
      <c r="E24" s="11" t="n">
        <f aca="false">IF(B24="","",C24-D24)</f>
        <v>50</v>
      </c>
      <c r="F24" s="20" t="str">
        <f aca="false">IF(B24="","",IF(D24&gt;C24,"✗ Over budget","✓ On track"))</f>
        <v>✓ On track</v>
      </c>
    </row>
    <row r="25" customFormat="false" ht="15" hidden="false" customHeight="false" outlineLevel="0" collapsed="false">
      <c r="B25" s="13" t="str">
        <f aca="false">IF(Settings!$B27="Expense",Settings!$A27,"")</f>
        <v/>
      </c>
      <c r="C25" s="11" t="str">
        <f aca="false">IF(B25="","",Settings!$C27)</f>
        <v/>
      </c>
      <c r="D25" s="11" t="str">
        <f aca="false">IF(B25="","",SUMIFS(Transactions!$E:$E,Transactions!$C:$C,B25,Transactions!$B:$B,"Expense",Transactions!$F:$F,$D$3))</f>
        <v/>
      </c>
      <c r="E25" s="11" t="str">
        <f aca="false">IF(B25="","",C25-D25)</f>
        <v/>
      </c>
      <c r="F25" s="20" t="str">
        <f aca="false">IF(B25="","",IF(D25&gt;C25,"✗ Over budget","✓ On track"))</f>
        <v/>
      </c>
    </row>
    <row r="26" customFormat="false" ht="15" hidden="false" customHeight="false" outlineLevel="0" collapsed="false">
      <c r="B26" s="13" t="str">
        <f aca="false">IF(Settings!$B28="Expense",Settings!$A28,"")</f>
        <v/>
      </c>
      <c r="C26" s="11" t="str">
        <f aca="false">IF(B26="","",Settings!$C28)</f>
        <v/>
      </c>
      <c r="D26" s="11" t="str">
        <f aca="false">IF(B26="","",SUMIFS(Transactions!$E:$E,Transactions!$C:$C,B26,Transactions!$B:$B,"Expense",Transactions!$F:$F,$D$3))</f>
        <v/>
      </c>
      <c r="E26" s="11" t="str">
        <f aca="false">IF(B26="","",C26-D26)</f>
        <v/>
      </c>
      <c r="F26" s="20" t="str">
        <f aca="false">IF(B26="","",IF(D26&gt;C26,"✗ Over budget","✓ On track"))</f>
        <v/>
      </c>
    </row>
    <row r="27" customFormat="false" ht="15" hidden="false" customHeight="false" outlineLevel="0" collapsed="false">
      <c r="B27" s="13" t="str">
        <f aca="false">IF(Settings!$B29="Expense",Settings!$A29,"")</f>
        <v/>
      </c>
      <c r="C27" s="11" t="str">
        <f aca="false">IF(B27="","",Settings!$C29)</f>
        <v/>
      </c>
      <c r="D27" s="11" t="str">
        <f aca="false">IF(B27="","",SUMIFS(Transactions!$E:$E,Transactions!$C:$C,B27,Transactions!$B:$B,"Expense",Transactions!$F:$F,$D$3))</f>
        <v/>
      </c>
      <c r="E27" s="11" t="str">
        <f aca="false">IF(B27="","",C27-D27)</f>
        <v/>
      </c>
      <c r="F27" s="20" t="str">
        <f aca="false">IF(B27="","",IF(D27&gt;C27,"✗ Over budget","✓ On track"))</f>
        <v/>
      </c>
    </row>
    <row r="28" customFormat="false" ht="15" hidden="false" customHeight="false" outlineLevel="0" collapsed="false">
      <c r="B28" s="13" t="str">
        <f aca="false">IF(Settings!$B30="Expense",Settings!$A30,"")</f>
        <v/>
      </c>
      <c r="C28" s="11" t="str">
        <f aca="false">IF(B28="","",Settings!$C30)</f>
        <v/>
      </c>
      <c r="D28" s="11" t="str">
        <f aca="false">IF(B28="","",SUMIFS(Transactions!$E:$E,Transactions!$C:$C,B28,Transactions!$B:$B,"Expense",Transactions!$F:$F,$D$3))</f>
        <v/>
      </c>
      <c r="E28" s="11" t="str">
        <f aca="false">IF(B28="","",C28-D28)</f>
        <v/>
      </c>
      <c r="F28" s="20" t="str">
        <f aca="false">IF(B28="","",IF(D28&gt;C28,"✗ Over budget","✓ On track"))</f>
        <v/>
      </c>
    </row>
    <row r="29" customFormat="false" ht="15" hidden="false" customHeight="false" outlineLevel="0" collapsed="false">
      <c r="B29" s="13" t="str">
        <f aca="false">IF(Settings!$B31="Expense",Settings!$A31,"")</f>
        <v/>
      </c>
      <c r="C29" s="11" t="str">
        <f aca="false">IF(B29="","",Settings!$C31)</f>
        <v/>
      </c>
      <c r="D29" s="11" t="str">
        <f aca="false">IF(B29="","",SUMIFS(Transactions!$E:$E,Transactions!$C:$C,B29,Transactions!$B:$B,"Expense",Transactions!$F:$F,$D$3))</f>
        <v/>
      </c>
      <c r="E29" s="11" t="str">
        <f aca="false">IF(B29="","",C29-D29)</f>
        <v/>
      </c>
      <c r="F29" s="20" t="str">
        <f aca="false">IF(B29="","",IF(D29&gt;C29,"✗ Over budget","✓ On track"))</f>
        <v/>
      </c>
    </row>
    <row r="30" customFormat="false" ht="15" hidden="false" customHeight="false" outlineLevel="0" collapsed="false">
      <c r="B30" s="13" t="str">
        <f aca="false">IF(Settings!$B32="Expense",Settings!$A32,"")</f>
        <v/>
      </c>
      <c r="C30" s="11" t="str">
        <f aca="false">IF(B30="","",Settings!$C32)</f>
        <v/>
      </c>
      <c r="D30" s="11" t="str">
        <f aca="false">IF(B30="","",SUMIFS(Transactions!$E:$E,Transactions!$C:$C,B30,Transactions!$B:$B,"Expense",Transactions!$F:$F,$D$3))</f>
        <v/>
      </c>
      <c r="E30" s="11" t="str">
        <f aca="false">IF(B30="","",C30-D30)</f>
        <v/>
      </c>
      <c r="F30" s="20" t="str">
        <f aca="false">IF(B30="","",IF(D30&gt;C30,"✗ Over budget","✓ On track"))</f>
        <v/>
      </c>
    </row>
    <row r="31" customFormat="false" ht="15" hidden="false" customHeight="false" outlineLevel="0" collapsed="false">
      <c r="B31" s="13" t="str">
        <f aca="false">IF(Settings!$B33="Expense",Settings!$A33,"")</f>
        <v/>
      </c>
      <c r="C31" s="11" t="str">
        <f aca="false">IF(B31="","",Settings!$C33)</f>
        <v/>
      </c>
      <c r="D31" s="11" t="str">
        <f aca="false">IF(B31="","",SUMIFS(Transactions!$E:$E,Transactions!$C:$C,B31,Transactions!$B:$B,"Expense",Transactions!$F:$F,$D$3))</f>
        <v/>
      </c>
      <c r="E31" s="11" t="str">
        <f aca="false">IF(B31="","",C31-D31)</f>
        <v/>
      </c>
      <c r="F31" s="20" t="str">
        <f aca="false">IF(B31="","",IF(D31&gt;C31,"✗ Over budget","✓ On track"))</f>
        <v/>
      </c>
    </row>
    <row r="32" customFormat="false" ht="15" hidden="false" customHeight="false" outlineLevel="0" collapsed="false">
      <c r="B32" s="13" t="str">
        <f aca="false">IF(Settings!$B34="Expense",Settings!$A34,"")</f>
        <v/>
      </c>
      <c r="C32" s="11" t="str">
        <f aca="false">IF(B32="","",Settings!$C34)</f>
        <v/>
      </c>
      <c r="D32" s="11" t="str">
        <f aca="false">IF(B32="","",SUMIFS(Transactions!$E:$E,Transactions!$C:$C,B32,Transactions!$B:$B,"Expense",Transactions!$F:$F,$D$3))</f>
        <v/>
      </c>
      <c r="E32" s="11" t="str">
        <f aca="false">IF(B32="","",C32-D32)</f>
        <v/>
      </c>
      <c r="F32" s="20" t="str">
        <f aca="false">IF(B32="","",IF(D32&gt;C32,"✗ Over budget","✓ On track"))</f>
        <v/>
      </c>
    </row>
    <row r="33" customFormat="false" ht="15" hidden="false" customHeight="false" outlineLevel="0" collapsed="false">
      <c r="B33" s="13" t="str">
        <f aca="false">IF(Settings!$B35="Expense",Settings!$A35,"")</f>
        <v/>
      </c>
      <c r="C33" s="11" t="str">
        <f aca="false">IF(B33="","",Settings!$C35)</f>
        <v/>
      </c>
      <c r="D33" s="11" t="str">
        <f aca="false">IF(B33="","",SUMIFS(Transactions!$E:$E,Transactions!$C:$C,B33,Transactions!$B:$B,"Expense",Transactions!$F:$F,$D$3))</f>
        <v/>
      </c>
      <c r="E33" s="11" t="str">
        <f aca="false">IF(B33="","",C33-D33)</f>
        <v/>
      </c>
      <c r="F33" s="20" t="str">
        <f aca="false">IF(B33="","",IF(D33&gt;C33,"✗ Over budget","✓ On track"))</f>
        <v/>
      </c>
    </row>
    <row r="34" customFormat="false" ht="15" hidden="false" customHeight="false" outlineLevel="0" collapsed="false">
      <c r="B34" s="13" t="str">
        <f aca="false">IF(Settings!$B36="Expense",Settings!$A36,"")</f>
        <v/>
      </c>
      <c r="C34" s="11" t="str">
        <f aca="false">IF(B34="","",Settings!$C36)</f>
        <v/>
      </c>
      <c r="D34" s="11" t="str">
        <f aca="false">IF(B34="","",SUMIFS(Transactions!$E:$E,Transactions!$C:$C,B34,Transactions!$B:$B,"Expense",Transactions!$F:$F,$D$3))</f>
        <v/>
      </c>
      <c r="E34" s="11" t="str">
        <f aca="false">IF(B34="","",C34-D34)</f>
        <v/>
      </c>
      <c r="F34" s="20" t="str">
        <f aca="false">IF(B34="","",IF(D34&gt;C34,"✗ Over budget","✓ On track"))</f>
        <v/>
      </c>
    </row>
    <row r="35" customFormat="false" ht="15" hidden="false" customHeight="false" outlineLevel="0" collapsed="false">
      <c r="B35" s="13" t="str">
        <f aca="false">IF(Settings!$B37="Expense",Settings!$A37,"")</f>
        <v/>
      </c>
      <c r="C35" s="11" t="str">
        <f aca="false">IF(B35="","",Settings!$C37)</f>
        <v/>
      </c>
      <c r="D35" s="11" t="str">
        <f aca="false">IF(B35="","",SUMIFS(Transactions!$E:$E,Transactions!$C:$C,B35,Transactions!$B:$B,"Expense",Transactions!$F:$F,$D$3))</f>
        <v/>
      </c>
      <c r="E35" s="11" t="str">
        <f aca="false">IF(B35="","",C35-D35)</f>
        <v/>
      </c>
      <c r="F35" s="20" t="str">
        <f aca="false">IF(B35="","",IF(D35&gt;C35,"✗ Over budget","✓ On track"))</f>
        <v/>
      </c>
    </row>
    <row r="40" customFormat="false" ht="15" hidden="false" customHeight="false" outlineLevel="0" collapsed="false">
      <c r="Z40" s="0" t="s">
        <v>60</v>
      </c>
    </row>
    <row r="41" customFormat="false" ht="15" hidden="false" customHeight="false" outlineLevel="0" collapsed="false">
      <c r="Z41" s="0" t="s">
        <v>70</v>
      </c>
    </row>
    <row r="42" customFormat="false" ht="15" hidden="false" customHeight="false" outlineLevel="0" collapsed="false">
      <c r="Z42" s="0" t="s">
        <v>71</v>
      </c>
    </row>
    <row r="43" customFormat="false" ht="15" hidden="false" customHeight="false" outlineLevel="0" collapsed="false">
      <c r="Z43" s="0" t="s">
        <v>72</v>
      </c>
    </row>
    <row r="44" customFormat="false" ht="15" hidden="false" customHeight="false" outlineLevel="0" collapsed="false">
      <c r="Z44" s="0" t="s">
        <v>73</v>
      </c>
    </row>
    <row r="45" customFormat="false" ht="15" hidden="false" customHeight="false" outlineLevel="0" collapsed="false">
      <c r="Z45" s="0" t="s">
        <v>74</v>
      </c>
    </row>
    <row r="46" customFormat="false" ht="15" hidden="false" customHeight="false" outlineLevel="0" collapsed="false">
      <c r="Z46" s="0" t="s">
        <v>75</v>
      </c>
    </row>
    <row r="47" customFormat="false" ht="15" hidden="false" customHeight="false" outlineLevel="0" collapsed="false">
      <c r="Z47" s="0" t="s">
        <v>76</v>
      </c>
    </row>
    <row r="48" customFormat="false" ht="15" hidden="false" customHeight="false" outlineLevel="0" collapsed="false">
      <c r="Z48" s="0" t="s">
        <v>77</v>
      </c>
    </row>
    <row r="49" customFormat="false" ht="15" hidden="false" customHeight="false" outlineLevel="0" collapsed="false">
      <c r="Z49" s="0" t="s">
        <v>78</v>
      </c>
    </row>
    <row r="50" customFormat="false" ht="15" hidden="false" customHeight="false" outlineLevel="0" collapsed="false">
      <c r="Z50" s="0" t="s">
        <v>79</v>
      </c>
    </row>
    <row r="51" customFormat="false" ht="15" hidden="false" customHeight="false" outlineLevel="0" collapsed="false">
      <c r="Z51" s="0" t="s">
        <v>80</v>
      </c>
    </row>
  </sheetData>
  <mergeCells count="9">
    <mergeCell ref="A1:L1"/>
    <mergeCell ref="B5:C5"/>
    <mergeCell ref="D5:E5"/>
    <mergeCell ref="F5:G5"/>
    <mergeCell ref="H5:I5"/>
    <mergeCell ref="B6:C6"/>
    <mergeCell ref="D6:E6"/>
    <mergeCell ref="F6:G6"/>
    <mergeCell ref="H6:I6"/>
  </mergeCells>
  <conditionalFormatting sqref="F9:F35">
    <cfRule type="expression" priority="2" aboveAverage="0" equalAverage="0" bottom="0" percent="0" rank="0" text="" dxfId="8">
      <formula>AND(ISNUMBER($D9),$D9&gt;$C9)</formula>
    </cfRule>
    <cfRule type="expression" priority="3" aboveAverage="0" equalAverage="0" bottom="0" percent="0" rank="0" text="" dxfId="7">
      <formula>AND(ISNUMBER($D9),$D9&lt;=$C9)</formula>
    </cfRule>
  </conditionalFormatting>
  <conditionalFormatting sqref="E9:E35">
    <cfRule type="cellIs" priority="4" operator="lessThan" aboveAverage="0" equalAverage="0" bottom="0" percent="0" rank="0" text="" dxfId="9">
      <formula>0</formula>
    </cfRule>
  </conditionalFormatting>
  <conditionalFormatting sqref="K9:K20">
    <cfRule type="cellIs" priority="5" operator="lessThan" aboveAverage="0" equalAverage="0" bottom="0" percent="0" rank="0" text="" dxfId="10">
      <formula>0</formula>
    </cfRule>
  </conditionalFormatting>
  <conditionalFormatting sqref="L9:L20">
    <cfRule type="colorScale" priority="6">
      <colorScale>
        <cfvo type="num" val="0"/>
        <cfvo type="num" val="0.5"/>
        <color rgb="FFFFFFFF"/>
        <color rgb="FF86EFAC"/>
      </colorScale>
    </cfRule>
  </conditionalFormatting>
  <dataValidations count="1">
    <dataValidation allowBlank="false" errorStyle="stop" operator="between" showDropDown="false" showErrorMessage="false" showInputMessage="false" sqref="C3" type="list">
      <formula1>"Jan,Feb,Mar,Apr,May,Jun,Jul,Aug,Sep,Oct,Nov,Dec"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</cols>
  <sheetData>
    <row r="1" customFormat="false" ht="42" hidden="false" customHeight="true" outlineLevel="0" collapsed="false">
      <c r="A1" s="1" t="s">
        <v>82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10" t="s">
        <v>83</v>
      </c>
      <c r="B3" s="10" t="s">
        <v>84</v>
      </c>
      <c r="C3" s="10" t="s">
        <v>85</v>
      </c>
      <c r="D3" s="10" t="s">
        <v>86</v>
      </c>
      <c r="E3" s="10" t="s">
        <v>87</v>
      </c>
      <c r="F3" s="10" t="s">
        <v>88</v>
      </c>
      <c r="G3" s="10" t="s">
        <v>89</v>
      </c>
    </row>
    <row r="4" customFormat="false" ht="15" hidden="false" customHeight="false" outlineLevel="0" collapsed="false">
      <c r="A4" s="8" t="s">
        <v>56</v>
      </c>
      <c r="B4" s="9" t="n">
        <v>6000</v>
      </c>
      <c r="C4" s="9" t="n">
        <v>1500</v>
      </c>
      <c r="D4" s="25" t="n">
        <f aca="false">IF(B4="","",MIN(1,C4/B4))</f>
        <v>0.25</v>
      </c>
      <c r="E4" s="11" t="n">
        <f aca="false">IF(B4="","",MAX(0,B4-C4))</f>
        <v>4500</v>
      </c>
      <c r="F4" s="12" t="n">
        <v>46749</v>
      </c>
      <c r="G4" s="11" t="n">
        <f aca="true">IF(OR(B4="",F4=""),"",E4/MAX(1,ROUNDUP((F4-TODAY())/30.4,0)))</f>
        <v>300</v>
      </c>
    </row>
    <row r="5" customFormat="false" ht="15" hidden="false" customHeight="false" outlineLevel="0" collapsed="false">
      <c r="A5" s="8" t="s">
        <v>90</v>
      </c>
      <c r="B5" s="9" t="n">
        <v>2000</v>
      </c>
      <c r="C5" s="9" t="n">
        <v>400</v>
      </c>
      <c r="D5" s="25" t="n">
        <f aca="false">IF(B5="","",MIN(1,C5/B5))</f>
        <v>0.2</v>
      </c>
      <c r="E5" s="11" t="n">
        <f aca="false">IF(B5="","",MAX(0,B5-C5))</f>
        <v>1600</v>
      </c>
      <c r="F5" s="12" t="n">
        <v>46627</v>
      </c>
      <c r="G5" s="11" t="n">
        <f aca="true">IF(OR(B5="",F5=""),"",E5/MAX(1,ROUNDUP((F5-TODAY())/30.4,0)))</f>
        <v>145.454545454545</v>
      </c>
    </row>
    <row r="6" customFormat="false" ht="15" hidden="false" customHeight="false" outlineLevel="0" collapsed="false">
      <c r="A6" s="8" t="s">
        <v>91</v>
      </c>
      <c r="B6" s="9" t="n">
        <v>1200</v>
      </c>
      <c r="C6" s="9" t="n">
        <v>300</v>
      </c>
      <c r="D6" s="25" t="n">
        <f aca="false">IF(B6="","",MIN(1,C6/B6))</f>
        <v>0.25</v>
      </c>
      <c r="E6" s="11" t="n">
        <f aca="false">IF(B6="","",MAX(0,B6-C6))</f>
        <v>900</v>
      </c>
      <c r="F6" s="12" t="n">
        <v>46535</v>
      </c>
      <c r="G6" s="11" t="n">
        <f aca="true">IF(OR(B6="",F6=""),"",E6/MAX(1,ROUNDUP((F6-TODAY())/30.4,0)))</f>
        <v>112.5</v>
      </c>
    </row>
    <row r="7" customFormat="false" ht="15" hidden="false" customHeight="false" outlineLevel="0" collapsed="false">
      <c r="A7" s="8"/>
      <c r="B7" s="9"/>
      <c r="C7" s="9"/>
      <c r="D7" s="25" t="str">
        <f aca="false">IF(B7="","",MIN(1,C7/B7))</f>
        <v/>
      </c>
      <c r="E7" s="11" t="str">
        <f aca="false">IF(B7="","",MAX(0,B7-C7))</f>
        <v/>
      </c>
      <c r="F7" s="12"/>
      <c r="G7" s="11" t="str">
        <f aca="true">IF(OR(B7="",F7=""),"",E7/MAX(1,ROUNDUP((F7-TODAY())/30.4,0)))</f>
        <v/>
      </c>
    </row>
    <row r="8" customFormat="false" ht="15" hidden="false" customHeight="false" outlineLevel="0" collapsed="false">
      <c r="A8" s="8"/>
      <c r="B8" s="9"/>
      <c r="C8" s="9"/>
      <c r="D8" s="25" t="str">
        <f aca="false">IF(B8="","",MIN(1,C8/B8))</f>
        <v/>
      </c>
      <c r="E8" s="11" t="str">
        <f aca="false">IF(B8="","",MAX(0,B8-C8))</f>
        <v/>
      </c>
      <c r="F8" s="12"/>
      <c r="G8" s="11" t="str">
        <f aca="true">IF(OR(B8="",F8=""),"",E8/MAX(1,ROUNDUP((F8-TODAY())/30.4,0)))</f>
        <v/>
      </c>
    </row>
    <row r="9" customFormat="false" ht="15" hidden="false" customHeight="false" outlineLevel="0" collapsed="false">
      <c r="A9" s="8"/>
      <c r="B9" s="9"/>
      <c r="C9" s="9"/>
      <c r="D9" s="25" t="str">
        <f aca="false">IF(B9="","",MIN(1,C9/B9))</f>
        <v/>
      </c>
      <c r="E9" s="11" t="str">
        <f aca="false">IF(B9="","",MAX(0,B9-C9))</f>
        <v/>
      </c>
      <c r="F9" s="12"/>
      <c r="G9" s="11" t="str">
        <f aca="true">IF(OR(B9="",F9=""),"",E9/MAX(1,ROUNDUP((F9-TODAY())/30.4,0)))</f>
        <v/>
      </c>
    </row>
    <row r="10" customFormat="false" ht="15" hidden="false" customHeight="false" outlineLevel="0" collapsed="false">
      <c r="A10" s="8"/>
      <c r="B10" s="9"/>
      <c r="C10" s="9"/>
      <c r="D10" s="25" t="str">
        <f aca="false">IF(B10="","",MIN(1,C10/B10))</f>
        <v/>
      </c>
      <c r="E10" s="11" t="str">
        <f aca="false">IF(B10="","",MAX(0,B10-C10))</f>
        <v/>
      </c>
      <c r="F10" s="12"/>
      <c r="G10" s="11" t="str">
        <f aca="true">IF(OR(B10="",F10=""),"",E10/MAX(1,ROUNDUP((F10-TODAY())/30.4,0)))</f>
        <v/>
      </c>
    </row>
    <row r="11" customFormat="false" ht="15" hidden="false" customHeight="false" outlineLevel="0" collapsed="false">
      <c r="A11" s="8"/>
      <c r="B11" s="9"/>
      <c r="C11" s="9"/>
      <c r="D11" s="25" t="str">
        <f aca="false">IF(B11="","",MIN(1,C11/B11))</f>
        <v/>
      </c>
      <c r="E11" s="11" t="str">
        <f aca="false">IF(B11="","",MAX(0,B11-C11))</f>
        <v/>
      </c>
      <c r="F11" s="12"/>
      <c r="G11" s="11" t="str">
        <f aca="true">IF(OR(B11="",F11=""),"",E11/MAX(1,ROUNDUP((F11-TODAY())/30.4,0)))</f>
        <v/>
      </c>
    </row>
    <row r="12" customFormat="false" ht="15" hidden="false" customHeight="false" outlineLevel="0" collapsed="false">
      <c r="A12" s="8"/>
      <c r="B12" s="9"/>
      <c r="C12" s="9"/>
      <c r="D12" s="25" t="str">
        <f aca="false">IF(B12="","",MIN(1,C12/B12))</f>
        <v/>
      </c>
      <c r="E12" s="11" t="str">
        <f aca="false">IF(B12="","",MAX(0,B12-C12))</f>
        <v/>
      </c>
      <c r="F12" s="12"/>
      <c r="G12" s="11" t="str">
        <f aca="true">IF(OR(B12="",F12=""),"",E12/MAX(1,ROUNDUP((F12-TODAY())/30.4,0)))</f>
        <v/>
      </c>
    </row>
    <row r="13" customFormat="false" ht="15" hidden="false" customHeight="false" outlineLevel="0" collapsed="false">
      <c r="A13" s="8"/>
      <c r="B13" s="9"/>
      <c r="C13" s="9"/>
      <c r="D13" s="25" t="str">
        <f aca="false">IF(B13="","",MIN(1,C13/B13))</f>
        <v/>
      </c>
      <c r="E13" s="11" t="str">
        <f aca="false">IF(B13="","",MAX(0,B13-C13))</f>
        <v/>
      </c>
      <c r="F13" s="12"/>
      <c r="G13" s="11" t="str">
        <f aca="true">IF(OR(B13="",F13=""),"",E13/MAX(1,ROUNDUP((F13-TODAY())/30.4,0)))</f>
        <v/>
      </c>
    </row>
    <row r="14" customFormat="false" ht="15" hidden="false" customHeight="false" outlineLevel="0" collapsed="false">
      <c r="A14" s="8"/>
      <c r="B14" s="9"/>
      <c r="C14" s="9"/>
      <c r="D14" s="25" t="str">
        <f aca="false">IF(B14="","",MIN(1,C14/B14))</f>
        <v/>
      </c>
      <c r="E14" s="11" t="str">
        <f aca="false">IF(B14="","",MAX(0,B14-C14))</f>
        <v/>
      </c>
      <c r="F14" s="12"/>
      <c r="G14" s="11" t="str">
        <f aca="true">IF(OR(B14="",F14=""),"",E14/MAX(1,ROUNDUP((F14-TODAY())/30.4,0)))</f>
        <v/>
      </c>
    </row>
    <row r="15" customFormat="false" ht="15" hidden="false" customHeight="false" outlineLevel="0" collapsed="false">
      <c r="A15" s="8"/>
      <c r="B15" s="9"/>
      <c r="C15" s="9"/>
      <c r="D15" s="25" t="str">
        <f aca="false">IF(B15="","",MIN(1,C15/B15))</f>
        <v/>
      </c>
      <c r="E15" s="11" t="str">
        <f aca="false">IF(B15="","",MAX(0,B15-C15))</f>
        <v/>
      </c>
      <c r="F15" s="12"/>
      <c r="G15" s="11" t="str">
        <f aca="true">IF(OR(B15="",F15=""),"",E15/MAX(1,ROUNDUP((F15-TODAY())/30.4,0)))</f>
        <v/>
      </c>
    </row>
    <row r="16" customFormat="false" ht="15" hidden="false" customHeight="false" outlineLevel="0" collapsed="false">
      <c r="A16" s="8"/>
      <c r="B16" s="9"/>
      <c r="C16" s="9"/>
      <c r="D16" s="25" t="str">
        <f aca="false">IF(B16="","",MIN(1,C16/B16))</f>
        <v/>
      </c>
      <c r="E16" s="11" t="str">
        <f aca="false">IF(B16="","",MAX(0,B16-C16))</f>
        <v/>
      </c>
      <c r="F16" s="12"/>
      <c r="G16" s="11" t="str">
        <f aca="true">IF(OR(B16="",F16=""),"",E16/MAX(1,ROUNDUP((F16-TODAY())/30.4,0)))</f>
        <v/>
      </c>
    </row>
    <row r="17" customFormat="false" ht="15" hidden="false" customHeight="false" outlineLevel="0" collapsed="false">
      <c r="A17" s="8"/>
      <c r="B17" s="9"/>
      <c r="C17" s="9"/>
      <c r="D17" s="25" t="str">
        <f aca="false">IF(B17="","",MIN(1,C17/B17))</f>
        <v/>
      </c>
      <c r="E17" s="11" t="str">
        <f aca="false">IF(B17="","",MAX(0,B17-C17))</f>
        <v/>
      </c>
      <c r="F17" s="12"/>
      <c r="G17" s="11" t="str">
        <f aca="true">IF(OR(B17="",F17=""),"",E17/MAX(1,ROUNDUP((F17-TODAY())/30.4,0)))</f>
        <v/>
      </c>
    </row>
    <row r="18" customFormat="false" ht="15" hidden="false" customHeight="false" outlineLevel="0" collapsed="false">
      <c r="A18" s="8"/>
      <c r="B18" s="9"/>
      <c r="C18" s="9"/>
      <c r="D18" s="25" t="str">
        <f aca="false">IF(B18="","",MIN(1,C18/B18))</f>
        <v/>
      </c>
      <c r="E18" s="11" t="str">
        <f aca="false">IF(B18="","",MAX(0,B18-C18))</f>
        <v/>
      </c>
      <c r="F18" s="12"/>
      <c r="G18" s="11" t="str">
        <f aca="true">IF(OR(B18="",F18=""),"",E18/MAX(1,ROUNDUP((F18-TODAY())/30.4,0)))</f>
        <v/>
      </c>
    </row>
  </sheetData>
  <mergeCells count="1">
    <mergeCell ref="A1:G1"/>
  </mergeCells>
  <conditionalFormatting sqref="D4:D18">
    <cfRule type="colorScale" priority="2">
      <colorScale>
        <cfvo type="num" val="0"/>
        <cfvo type="num" val="0.5"/>
        <cfvo type="num" val="1"/>
        <color rgb="FFFECACA"/>
        <color rgb="FFFEF08A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42" hidden="false" customHeight="true" outlineLevel="0" collapsed="false">
      <c r="A1" s="1" t="s">
        <v>92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93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10" t="s">
        <v>94</v>
      </c>
      <c r="B3" s="10" t="s">
        <v>69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99</v>
      </c>
    </row>
    <row r="4" customFormat="false" ht="15" hidden="false" customHeight="false" outlineLevel="0" collapsed="false">
      <c r="A4" s="8" t="s">
        <v>100</v>
      </c>
      <c r="B4" s="9" t="n">
        <v>2500</v>
      </c>
      <c r="C4" s="26" t="n">
        <v>0.22</v>
      </c>
      <c r="D4" s="9" t="n">
        <v>150</v>
      </c>
      <c r="E4" s="27" t="n">
        <f aca="false">IF(OR(B4="",D4=""),"",IFERROR(ROUNDUP(IF(C4=0,B4/D4,NPER(C4/12,-D4,B4)),0),"∞"))</f>
        <v>21</v>
      </c>
      <c r="F4" s="28" t="n">
        <f aca="true">IF(ISNUMBER(E4),EDATE(TODAY(),E4),"")</f>
        <v>46943</v>
      </c>
      <c r="G4" s="11" t="n">
        <f aca="false">IF(ISNUMBER(E4),MAX(0,E4*D4-B4),"")</f>
        <v>650</v>
      </c>
    </row>
    <row r="5" customFormat="false" ht="15" hidden="false" customHeight="false" outlineLevel="0" collapsed="false">
      <c r="A5" s="8" t="s">
        <v>101</v>
      </c>
      <c r="B5" s="9" t="n">
        <v>9000</v>
      </c>
      <c r="C5" s="26" t="n">
        <v>0.07</v>
      </c>
      <c r="D5" s="9" t="n">
        <v>250</v>
      </c>
      <c r="E5" s="27" t="n">
        <f aca="false">IF(OR(B5="",D5=""),"",IFERROR(ROUNDUP(IF(C5=0,B5/D5,NPER(C5/12,-D5,B5)),0),"∞"))</f>
        <v>41</v>
      </c>
      <c r="F5" s="28" t="n">
        <f aca="true">IF(ISNUMBER(E5),EDATE(TODAY(),E5),"")</f>
        <v>47551</v>
      </c>
      <c r="G5" s="11" t="n">
        <f aca="false">IF(ISNUMBER(E5),MAX(0,E5*D5-B5),"")</f>
        <v>1250</v>
      </c>
    </row>
    <row r="6" customFormat="false" ht="15" hidden="false" customHeight="false" outlineLevel="0" collapsed="false">
      <c r="A6" s="8"/>
      <c r="B6" s="9"/>
      <c r="C6" s="26"/>
      <c r="D6" s="9"/>
      <c r="E6" s="27" t="str">
        <f aca="false">IF(OR(B6="",D6=""),"",IFERROR(ROUNDUP(IF(C6=0,B6/D6,NPER(C6/12,-D6,B6)),0),"∞"))</f>
        <v/>
      </c>
      <c r="F6" s="28" t="str">
        <f aca="true">IF(ISNUMBER(E6),EDATE(TODAY(),E6),"")</f>
        <v/>
      </c>
      <c r="G6" s="11" t="str">
        <f aca="false">IF(ISNUMBER(E6),MAX(0,E6*D6-B6),"")</f>
        <v/>
      </c>
    </row>
    <row r="7" customFormat="false" ht="15" hidden="false" customHeight="false" outlineLevel="0" collapsed="false">
      <c r="A7" s="8"/>
      <c r="B7" s="9"/>
      <c r="C7" s="26"/>
      <c r="D7" s="9"/>
      <c r="E7" s="27" t="str">
        <f aca="false">IF(OR(B7="",D7=""),"",IFERROR(ROUNDUP(IF(C7=0,B7/D7,NPER(C7/12,-D7,B7)),0),"∞"))</f>
        <v/>
      </c>
      <c r="F7" s="28" t="str">
        <f aca="true">IF(ISNUMBER(E7),EDATE(TODAY(),E7),"")</f>
        <v/>
      </c>
      <c r="G7" s="11" t="str">
        <f aca="false">IF(ISNUMBER(E7),MAX(0,E7*D7-B7),"")</f>
        <v/>
      </c>
    </row>
    <row r="8" customFormat="false" ht="15" hidden="false" customHeight="false" outlineLevel="0" collapsed="false">
      <c r="A8" s="8"/>
      <c r="B8" s="9"/>
      <c r="C8" s="26"/>
      <c r="D8" s="9"/>
      <c r="E8" s="27" t="str">
        <f aca="false">IF(OR(B8="",D8=""),"",IFERROR(ROUNDUP(IF(C8=0,B8/D8,NPER(C8/12,-D8,B8)),0),"∞"))</f>
        <v/>
      </c>
      <c r="F8" s="28" t="str">
        <f aca="true">IF(ISNUMBER(E8),EDATE(TODAY(),E8),"")</f>
        <v/>
      </c>
      <c r="G8" s="11" t="str">
        <f aca="false">IF(ISNUMBER(E8),MAX(0,E8*D8-B8),"")</f>
        <v/>
      </c>
    </row>
    <row r="9" customFormat="false" ht="15" hidden="false" customHeight="false" outlineLevel="0" collapsed="false">
      <c r="A9" s="8"/>
      <c r="B9" s="9"/>
      <c r="C9" s="26"/>
      <c r="D9" s="9"/>
      <c r="E9" s="27" t="str">
        <f aca="false">IF(OR(B9="",D9=""),"",IFERROR(ROUNDUP(IF(C9=0,B9/D9,NPER(C9/12,-D9,B9)),0),"∞"))</f>
        <v/>
      </c>
      <c r="F9" s="28" t="str">
        <f aca="true">IF(ISNUMBER(E9),EDATE(TODAY(),E9),"")</f>
        <v/>
      </c>
      <c r="G9" s="11" t="str">
        <f aca="false">IF(ISNUMBER(E9),MAX(0,E9*D9-B9),"")</f>
        <v/>
      </c>
    </row>
    <row r="10" customFormat="false" ht="15" hidden="false" customHeight="false" outlineLevel="0" collapsed="false">
      <c r="A10" s="8"/>
      <c r="B10" s="9"/>
      <c r="C10" s="26"/>
      <c r="D10" s="9"/>
      <c r="E10" s="27" t="str">
        <f aca="false">IF(OR(B10="",D10=""),"",IFERROR(ROUNDUP(IF(C10=0,B10/D10,NPER(C10/12,-D10,B10)),0),"∞"))</f>
        <v/>
      </c>
      <c r="F10" s="28" t="str">
        <f aca="true">IF(ISNUMBER(E10),EDATE(TODAY(),E10),"")</f>
        <v/>
      </c>
      <c r="G10" s="11" t="str">
        <f aca="false">IF(ISNUMBER(E10),MAX(0,E10*D10-B10),"")</f>
        <v/>
      </c>
    </row>
    <row r="11" customFormat="false" ht="15" hidden="false" customHeight="false" outlineLevel="0" collapsed="false">
      <c r="A11" s="8"/>
      <c r="B11" s="9"/>
      <c r="C11" s="26"/>
      <c r="D11" s="9"/>
      <c r="E11" s="27" t="str">
        <f aca="false">IF(OR(B11="",D11=""),"",IFERROR(ROUNDUP(IF(C11=0,B11/D11,NPER(C11/12,-D11,B11)),0),"∞"))</f>
        <v/>
      </c>
      <c r="F11" s="28" t="str">
        <f aca="true">IF(ISNUMBER(E11),EDATE(TODAY(),E11),"")</f>
        <v/>
      </c>
      <c r="G11" s="11" t="str">
        <f aca="false">IF(ISNUMBER(E11),MAX(0,E11*D11-B11),"")</f>
        <v/>
      </c>
    </row>
    <row r="12" customFormat="false" ht="15" hidden="false" customHeight="false" outlineLevel="0" collapsed="false">
      <c r="A12" s="8"/>
      <c r="B12" s="9"/>
      <c r="C12" s="26"/>
      <c r="D12" s="9"/>
      <c r="E12" s="27" t="str">
        <f aca="false">IF(OR(B12="",D12=""),"",IFERROR(ROUNDUP(IF(C12=0,B12/D12,NPER(C12/12,-D12,B12)),0),"∞"))</f>
        <v/>
      </c>
      <c r="F12" s="28" t="str">
        <f aca="true">IF(ISNUMBER(E12),EDATE(TODAY(),E12),"")</f>
        <v/>
      </c>
      <c r="G12" s="11" t="str">
        <f aca="false">IF(ISNUMBER(E12),MAX(0,E12*D12-B12),"")</f>
        <v/>
      </c>
    </row>
    <row r="13" customFormat="false" ht="15" hidden="false" customHeight="false" outlineLevel="0" collapsed="false">
      <c r="A13" s="8"/>
      <c r="B13" s="9"/>
      <c r="C13" s="26"/>
      <c r="D13" s="9"/>
      <c r="E13" s="27" t="str">
        <f aca="false">IF(OR(B13="",D13=""),"",IFERROR(ROUNDUP(IF(C13=0,B13/D13,NPER(C13/12,-D13,B13)),0),"∞"))</f>
        <v/>
      </c>
      <c r="F13" s="28" t="str">
        <f aca="true">IF(ISNUMBER(E13),EDATE(TODAY(),E13),"")</f>
        <v/>
      </c>
      <c r="G13" s="11" t="str">
        <f aca="false">IF(ISNUMBER(E13),MAX(0,E13*D13-B13),"")</f>
        <v/>
      </c>
    </row>
    <row r="15" customFormat="false" ht="15" hidden="false" customHeight="false" outlineLevel="0" collapsed="false">
      <c r="A15" s="7" t="s">
        <v>81</v>
      </c>
      <c r="B15" s="29" t="n">
        <f aca="false">SUM(B4:B13)</f>
        <v>11500</v>
      </c>
      <c r="D15" s="29" t="n">
        <f aca="false">SUM(D4:D13)</f>
        <v>400</v>
      </c>
      <c r="G15" s="29" t="n">
        <f aca="false">SUM(G4:G13)</f>
        <v>1900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15" min="4" style="0" width="12"/>
  </cols>
  <sheetData>
    <row r="1" customFormat="false" ht="42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30" hidden="false" customHeight="true" outlineLevel="0" collapsed="false">
      <c r="A3" s="10" t="s">
        <v>103</v>
      </c>
      <c r="B3" s="10" t="s">
        <v>104</v>
      </c>
      <c r="C3" s="10" t="s">
        <v>46</v>
      </c>
      <c r="D3" s="10" t="s">
        <v>60</v>
      </c>
      <c r="E3" s="10" t="s">
        <v>70</v>
      </c>
      <c r="F3" s="10" t="s">
        <v>71</v>
      </c>
      <c r="G3" s="10" t="s">
        <v>72</v>
      </c>
      <c r="H3" s="10" t="s">
        <v>73</v>
      </c>
      <c r="I3" s="10" t="s">
        <v>74</v>
      </c>
      <c r="J3" s="10" t="s">
        <v>75</v>
      </c>
      <c r="K3" s="10" t="s">
        <v>76</v>
      </c>
      <c r="L3" s="10" t="s">
        <v>77</v>
      </c>
      <c r="M3" s="10" t="s">
        <v>78</v>
      </c>
      <c r="N3" s="10" t="s">
        <v>79</v>
      </c>
      <c r="O3" s="10" t="s">
        <v>80</v>
      </c>
    </row>
    <row r="4" customFormat="false" ht="15" hidden="false" customHeight="false" outlineLevel="0" collapsed="false">
      <c r="A4" s="8" t="s">
        <v>49</v>
      </c>
      <c r="B4" s="8" t="n">
        <v>1</v>
      </c>
      <c r="C4" s="9" t="n">
        <v>1200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customFormat="false" ht="15" hidden="false" customHeight="false" outlineLevel="0" collapsed="false">
      <c r="A5" s="8" t="s">
        <v>53</v>
      </c>
      <c r="B5" s="8" t="n">
        <v>10</v>
      </c>
      <c r="C5" s="9" t="n">
        <v>75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customFormat="false" ht="15" hidden="false" customHeight="false" outlineLevel="0" collapsed="false">
      <c r="A6" s="8" t="s">
        <v>105</v>
      </c>
      <c r="B6" s="8" t="n">
        <v>15</v>
      </c>
      <c r="C6" s="9" t="n">
        <v>45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customFormat="false" ht="15" hidden="false" customHeight="false" outlineLevel="0" collapsed="false">
      <c r="A7" s="8" t="s">
        <v>106</v>
      </c>
      <c r="B7" s="8" t="n">
        <v>20</v>
      </c>
      <c r="C7" s="9" t="n">
        <v>35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customFormat="false" ht="15" hidden="false" customHeight="false" outlineLevel="0" collapsed="false">
      <c r="A8" s="8"/>
      <c r="B8" s="8"/>
      <c r="C8" s="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customFormat="false" ht="15" hidden="false" customHeight="false" outlineLevel="0" collapsed="false">
      <c r="A9" s="8"/>
      <c r="B9" s="8"/>
      <c r="C9" s="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customFormat="false" ht="15" hidden="false" customHeight="false" outlineLevel="0" collapsed="false">
      <c r="A10" s="8"/>
      <c r="B10" s="8"/>
      <c r="C10" s="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customFormat="false" ht="15" hidden="false" customHeight="false" outlineLevel="0" collapsed="false">
      <c r="A11" s="8"/>
      <c r="B11" s="8"/>
      <c r="C11" s="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customFormat="false" ht="15" hidden="false" customHeight="false" outlineLevel="0" collapsed="false">
      <c r="A12" s="8"/>
      <c r="B12" s="8"/>
      <c r="C12" s="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customFormat="false" ht="15" hidden="false" customHeight="false" outlineLevel="0" collapsed="false">
      <c r="A13" s="8"/>
      <c r="B13" s="8"/>
      <c r="C13" s="9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customFormat="false" ht="15" hidden="false" customHeight="false" outlineLevel="0" collapsed="false">
      <c r="A14" s="8"/>
      <c r="B14" s="8"/>
      <c r="C14" s="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customFormat="false" ht="15" hidden="false" customHeight="false" outlineLevel="0" collapsed="false">
      <c r="A15" s="8"/>
      <c r="B15" s="8"/>
      <c r="C15" s="9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customFormat="false" ht="15" hidden="false" customHeight="false" outlineLevel="0" collapsed="false">
      <c r="A16" s="8"/>
      <c r="B16" s="8"/>
      <c r="C16" s="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customFormat="false" ht="15" hidden="false" customHeight="false" outlineLevel="0" collapsed="false">
      <c r="A17" s="8"/>
      <c r="B17" s="8"/>
      <c r="C17" s="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customFormat="false" ht="15" hidden="false" customHeight="false" outlineLevel="0" collapsed="false">
      <c r="A18" s="8"/>
      <c r="B18" s="8"/>
      <c r="C18" s="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customFormat="false" ht="15" hidden="false" customHeight="false" outlineLevel="0" collapsed="false">
      <c r="A19" s="8"/>
      <c r="B19" s="8"/>
      <c r="C19" s="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customFormat="false" ht="15" hidden="false" customHeight="false" outlineLevel="0" collapsed="false">
      <c r="A20" s="8"/>
      <c r="B20" s="8"/>
      <c r="C20" s="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customFormat="false" ht="15" hidden="false" customHeight="false" outlineLevel="0" collapsed="false">
      <c r="A21" s="8"/>
      <c r="B21" s="8"/>
      <c r="C21" s="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customFormat="false" ht="15" hidden="false" customHeight="false" outlineLevel="0" collapsed="false">
      <c r="A22" s="8"/>
      <c r="B22" s="8"/>
      <c r="C22" s="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customFormat="false" ht="15" hidden="false" customHeight="false" outlineLevel="0" collapsed="false">
      <c r="A23" s="8"/>
      <c r="B23" s="8"/>
      <c r="C23" s="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customFormat="false" ht="15" hidden="false" customHeight="false" outlineLevel="0" collapsed="false">
      <c r="A24" s="8"/>
      <c r="B24" s="8"/>
      <c r="C24" s="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customFormat="false" ht="15" hidden="false" customHeight="false" outlineLevel="0" collapsed="false">
      <c r="A25" s="8"/>
      <c r="B25" s="8"/>
      <c r="C25" s="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customFormat="false" ht="15" hidden="false" customHeight="false" outlineLevel="0" collapsed="false">
      <c r="A26" s="8"/>
      <c r="B26" s="8"/>
      <c r="C26" s="9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customFormat="false" ht="15" hidden="false" customHeight="false" outlineLevel="0" collapsed="false">
      <c r="A27" s="8"/>
      <c r="B27" s="8"/>
      <c r="C27" s="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 customFormat="false" ht="15" hidden="false" customHeight="false" outlineLevel="0" collapsed="false">
      <c r="A28" s="8"/>
      <c r="B28" s="8"/>
      <c r="C28" s="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30" customFormat="false" ht="15" hidden="false" customHeight="false" outlineLevel="0" collapsed="false">
      <c r="A30" s="7" t="s">
        <v>81</v>
      </c>
      <c r="C30" s="29" t="n">
        <f aca="false">SUM(C4:C28)</f>
        <v>1355</v>
      </c>
    </row>
  </sheetData>
  <mergeCells count="1">
    <mergeCell ref="A1:O1"/>
  </mergeCells>
  <conditionalFormatting sqref="D4:O28">
    <cfRule type="cellIs" priority="2" operator="equal" aboveAverage="0" equalAverage="0" bottom="0" percent="0" rank="0" text="" dxfId="11">
      <formula>"✓"</formula>
    </cfRule>
  </conditionalFormatting>
  <dataValidations count="1">
    <dataValidation allowBlank="true" errorStyle="stop" operator="between" showDropDown="false" showErrorMessage="false" showInputMessage="false" sqref="D4:O28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2026-10-09T06:34:38Z</dcterms:created>
  <dc:creator>openpyxl</dc:creator>
  <dc:description/>
  <dc:language>en-US</dc:language>
  <cp:lastModifiedBy/>
  <dcterms:modified xsi:type="dcterms:W3CDTF">2026-10-09T06:34:43Z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